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ançamentos" sheetId="2" state="visible" r:id="rId4"/>
    <sheet name="Artistas" sheetId="3" state="visible" r:id="rId5"/>
    <sheet name="Responsáveis" sheetId="4" state="visible" r:id="rId6"/>
    <sheet name="Listas" sheetId="5" state="visible" r:id="rId7"/>
    <sheet name="Como usar" sheetId="6" state="visible" r:id="rId8"/>
  </sheets>
  <definedNames>
    <definedName function="false" hidden="true" localSheetId="2" name="_xlnm._FilterDatabase" vbProcedure="false">Artistas!$A$4:$L$104</definedName>
    <definedName function="false" hidden="true" localSheetId="1" name="_xlnm._FilterDatabase" vbProcedure="false">Lançamentos!$A$1:$K$401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Calculado: data de lançamento − dias da etapa (aba Listas). Pode digitar uma data por cima para ajustar.</t>
        </r>
      </text>
    </comment>
    <comment ref="J1" authorId="0">
      <text>
        <r>
          <rPr>
            <sz val="10"/>
            <rFont val="Arial"/>
            <family val="2"/>
          </rPr>
          <t xml:space="preserve">Anote a data em que você cobrou o responsável pela última vez.</t>
        </r>
      </text>
    </comment>
  </commentList>
</comments>
</file>

<file path=xl/sharedStrings.xml><?xml version="1.0" encoding="utf-8"?>
<sst xmlns="http://schemas.openxmlformats.org/spreadsheetml/2006/main" count="218" uniqueCount="120">
  <si>
    <t xml:space="preserve">PLANO PROPULSE · Painel de cobranças</t>
  </si>
  <si>
    <t xml:space="preserve">Artistas ativos</t>
  </si>
  <si>
    <t xml:space="preserve">Tarefas abertas</t>
  </si>
  <si>
    <t xml:space="preserve">🔴 Atrasadas – cobrar</t>
  </si>
  <si>
    <t xml:space="preserve">🟠 Vencem em 3 dias</t>
  </si>
  <si>
    <t xml:space="preserve">✅ Concluídas</t>
  </si>
  <si>
    <t xml:space="preserve">% concluído</t>
  </si>
  <si>
    <t xml:space="preserve">📣 QUEM COBRAR (atrasadas e vencendo em até 3 dias, da mais urgente para a menos)</t>
  </si>
  <si>
    <t xml:space="preserve">Responsável</t>
  </si>
  <si>
    <t xml:space="preserve">Artista</t>
  </si>
  <si>
    <t xml:space="preserve">Etapa</t>
  </si>
  <si>
    <t xml:space="preserve">Lançamento</t>
  </si>
  <si>
    <t xml:space="preserve">Prazo</t>
  </si>
  <si>
    <t xml:space="preserve">Situação</t>
  </si>
  <si>
    <t xml:space="preserve">Mostra as 15 mais urgentes. Lista completa: aba Lançamentos → filtre a coluna Alerta.</t>
  </si>
  <si>
    <t xml:space="preserve">👥 POR RESPONSÁVEL</t>
  </si>
  <si>
    <t xml:space="preserve">Abertas</t>
  </si>
  <si>
    <t xml:space="preserve">🔴 Atrasadas</t>
  </si>
  <si>
    <t xml:space="preserve">🟠 Vencem ≤3 dias</t>
  </si>
  <si>
    <t xml:space="preserve">🎤 POR ARTISTA</t>
  </si>
  <si>
    <t xml:space="preserve">Gestor da conta</t>
  </si>
  <si>
    <t xml:space="preserve">Próximo lançamento</t>
  </si>
  <si>
    <t xml:space="preserve">Lançamento (faixa / EP)</t>
  </si>
  <si>
    <t xml:space="preserve">Data de lançamento</t>
  </si>
  <si>
    <t xml:space="preserve">Prazo da etapa</t>
  </si>
  <si>
    <t xml:space="preserve">Status</t>
  </si>
  <si>
    <t xml:space="preserve">Dias p/ prazo</t>
  </si>
  <si>
    <t xml:space="preserve">Alerta</t>
  </si>
  <si>
    <t xml:space="preserve">Última cobrança</t>
  </si>
  <si>
    <t xml:space="preserve">Observações</t>
  </si>
  <si>
    <t xml:space="preserve">chave</t>
  </si>
  <si>
    <t xml:space="preserve">Luna Ribeiro</t>
  </si>
  <si>
    <t xml:space="preserve">Maré Alta</t>
  </si>
  <si>
    <t xml:space="preserve">Briefing / planejamento</t>
  </si>
  <si>
    <t xml:space="preserve">Elisa Rocha</t>
  </si>
  <si>
    <t xml:space="preserve">Concluído</t>
  </si>
  <si>
    <t xml:space="preserve">Capa / arte</t>
  </si>
  <si>
    <t xml:space="preserve">Ana Souza</t>
  </si>
  <si>
    <t xml:space="preserve">Upload na distribuidora</t>
  </si>
  <si>
    <t xml:space="preserve">Bruno Lima</t>
  </si>
  <si>
    <t xml:space="preserve">Pitch editorial Spotify</t>
  </si>
  <si>
    <t xml:space="preserve">Em andamento</t>
  </si>
  <si>
    <t xml:space="preserve">Prazo do Spotify é crítico!</t>
  </si>
  <si>
    <t xml:space="preserve">Pré-save</t>
  </si>
  <si>
    <t xml:space="preserve">Carla Mendes</t>
  </si>
  <si>
    <t xml:space="preserve">Não iniciado</t>
  </si>
  <si>
    <t xml:space="preserve">Release / assessoria</t>
  </si>
  <si>
    <t xml:space="preserve">Conteúdo para redes (teasers)</t>
  </si>
  <si>
    <t xml:space="preserve">Aguardando artista</t>
  </si>
  <si>
    <t xml:space="preserve">Artista vai mandar vídeos de bastidor</t>
  </si>
  <si>
    <t xml:space="preserve">Campanha de tráfego (Ads)</t>
  </si>
  <si>
    <t xml:space="preserve">Diego Alves</t>
  </si>
  <si>
    <t xml:space="preserve">MC Taveira</t>
  </si>
  <si>
    <t xml:space="preserve">Favela Sonha</t>
  </si>
  <si>
    <t xml:space="preserve">1ª versão aprovada, faltam ajustes</t>
  </si>
  <si>
    <t xml:space="preserve">Visualizer / clipe</t>
  </si>
  <si>
    <t xml:space="preserve">Banda Aurora</t>
  </si>
  <si>
    <t xml:space="preserve">Céu de Outubro</t>
  </si>
  <si>
    <t xml:space="preserve">Relatório pós-lançamento</t>
  </si>
  <si>
    <t xml:space="preserve">Enviar para o artista na reunião mensal</t>
  </si>
  <si>
    <t xml:space="preserve">Artistas no Plano Propulse</t>
  </si>
  <si>
    <t xml:space="preserve">Uma linha por artista. Amarelo = você preenche; cinza = calculado automaticamente.</t>
  </si>
  <si>
    <t xml:space="preserve">Gênero</t>
  </si>
  <si>
    <t xml:space="preserve">Contato do artista</t>
  </si>
  <si>
    <t xml:space="preserve">Entrada no Propulse</t>
  </si>
  <si>
    <t xml:space="preserve">Status no plano</t>
  </si>
  <si>
    <t xml:space="preserve">Mês no plano</t>
  </si>
  <si>
    <t xml:space="preserve">Pop</t>
  </si>
  <si>
    <t xml:space="preserve">(11) 98888-0001</t>
  </si>
  <si>
    <t xml:space="preserve">Ativo</t>
  </si>
  <si>
    <t xml:space="preserve">Funk</t>
  </si>
  <si>
    <t xml:space="preserve">(21) 98888-0002</t>
  </si>
  <si>
    <t xml:space="preserve">Indie / rock</t>
  </si>
  <si>
    <t xml:space="preserve">(31) 98888-0003</t>
  </si>
  <si>
    <t xml:space="preserve">Renovação do plano em novembro</t>
  </si>
  <si>
    <t xml:space="preserve">Equipe responsável pela execução</t>
  </si>
  <si>
    <t xml:space="preserve">Cadastre quem executa cada etapa. As colunas cinza calculam sozinhas.</t>
  </si>
  <si>
    <t xml:space="preserve">Função</t>
  </si>
  <si>
    <t xml:space="preserve">WhatsApp</t>
  </si>
  <si>
    <t xml:space="preserve">E-mail</t>
  </si>
  <si>
    <t xml:space="preserve">🟠 Vencem em até 3 dias</t>
  </si>
  <si>
    <t xml:space="preserve">Design / capas</t>
  </si>
  <si>
    <t xml:space="preserve">(11) 90000-0001</t>
  </si>
  <si>
    <t xml:space="preserve">ana@exemplo.com</t>
  </si>
  <si>
    <t xml:space="preserve">Distribuição / pitch</t>
  </si>
  <si>
    <t xml:space="preserve">(11) 90000-0002</t>
  </si>
  <si>
    <t xml:space="preserve">bruno@exemplo.com</t>
  </si>
  <si>
    <t xml:space="preserve">Social media</t>
  </si>
  <si>
    <t xml:space="preserve">(11) 90000-0003</t>
  </si>
  <si>
    <t xml:space="preserve">carla@exemplo.com</t>
  </si>
  <si>
    <t xml:space="preserve">Tráfego pago</t>
  </si>
  <si>
    <t xml:space="preserve">(11) 90000-0004</t>
  </si>
  <si>
    <t xml:space="preserve">diego@exemplo.com</t>
  </si>
  <si>
    <t xml:space="preserve">Assessoria / gestão</t>
  </si>
  <si>
    <t xml:space="preserve">(11) 90000-0005</t>
  </si>
  <si>
    <t xml:space="preserve">elisa@exemplo.com</t>
  </si>
  <si>
    <t xml:space="preserve">Listas de apoio</t>
  </si>
  <si>
    <t xml:space="preserve">Edite aqui as etapas padrão do Plano Propulse e quantos dias antes do lançamento cada uma deve estar pronta.</t>
  </si>
  <si>
    <t xml:space="preserve">Etapa do lançamento</t>
  </si>
  <si>
    <t xml:space="preserve">Dias antes do lançamento</t>
  </si>
  <si>
    <t xml:space="preserve">Status da tarefa</t>
  </si>
  <si>
    <t xml:space="preserve">Status do artista</t>
  </si>
  <si>
    <t xml:space="preserve">Pausado</t>
  </si>
  <si>
    <t xml:space="preserve">Encerrado</t>
  </si>
  <si>
    <t xml:space="preserve">Dica: número negativo = depois do lançamento (ex.: -14 = relatório 14 dias após sair). Pitch no Spotify precisa ser enviado com pelo menos 7 dias de antecedência.</t>
  </si>
  <si>
    <t xml:space="preserve">Como usar esta planilha</t>
  </si>
  <si>
    <t xml:space="preserve">Legenda de cores</t>
  </si>
  <si>
    <t xml:space="preserve">■ Célula AMARELA com texto azul = você preenche.   ■ Célula CINZA = fórmula, não precisa mexer.</t>
  </si>
  <si>
    <t xml:space="preserve">■ Linha VERMELHA = tarefa atrasada → COBRAR o responsável.   ■ Linha AMARELA = vence em até 3 dias → lembrar.   ■ Texto cinza claro = concluído.</t>
  </si>
  <si>
    <t xml:space="preserve">Passo a passo</t>
  </si>
  <si>
    <t xml:space="preserve">1. Aba Responsáveis: cadastre a equipe que executa os lançamentos (nome, função, WhatsApp, e-mail).</t>
  </si>
  <si>
    <t xml:space="preserve">2. Aba Artistas: cadastre cada artista do Plano Propulse, com data de entrada e status (Ativo / Pausado / Encerrado).</t>
  </si>
  <si>
    <t xml:space="preserve">3. Aba Lançamentos: para cada lançamento, crie uma linha por etapa (capa, upload, pitch, pré-save, ads...). Escolha artista, etapa, responsável e status nas listas.</t>
  </si>
  <si>
    <t xml:space="preserve">   O PRAZO é calculado sozinho a partir da data de lançamento e da aba Listas. Se precisar de outro prazo, é só digitar a data por cima.</t>
  </si>
  <si>
    <t xml:space="preserve">4. Atualize o STATUS conforme a equipe avança. Quando cobrar alguém, anote a data em 'Última cobrança'.</t>
  </si>
  <si>
    <t xml:space="preserve">5. Abra a aba Painel todo dia: o bloco 'QUEM COBRAR' mostra exatamente quem cobrar, de qual artista e qual etapa.</t>
  </si>
  <si>
    <t xml:space="preserve">Dicas</t>
  </si>
  <si>
    <t xml:space="preserve">• Ajuste as etapas padrão e os dias de antecedência na aba Listas — tudo se recalcula.</t>
  </si>
  <si>
    <t xml:space="preserve">• Os dados atuais (Luna Ribeiro, MC Taveira, Banda Aurora, Ana, Bruno...) são EXEMPLOS fictícios: apague e coloque os seus.</t>
  </si>
  <si>
    <t xml:space="preserve">• Funciona no Excel e no Google Sheets (Arquivo → Importar). No Google Sheets, você pode compartilhar com a equipe.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</si>
</sst>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dd/mm/yyyy"/>
    <numFmt numFmtId="168" formatCode="General"/>
    <numFmt numFmtId="169" formatCode="mm/dd/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5B2A86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5B2A86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22"/>
      <color rgb="FF5B2A86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22"/>
      <color rgb="FF9C0006"/>
      <name val="Arial"/>
      <family val="0"/>
      <charset val="1"/>
    </font>
    <font>
      <b val="true"/>
      <sz val="22"/>
      <color rgb="FF7F6000"/>
      <name val="Arial"/>
      <family val="0"/>
      <charset val="1"/>
    </font>
    <font>
      <b val="true"/>
      <sz val="22"/>
      <color rgb="FF006100"/>
      <name val="Arial"/>
      <family val="0"/>
      <charset val="1"/>
    </font>
    <font>
      <b val="true"/>
      <sz val="22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2"/>
      <color rgb="FF5B2A8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5B2A8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5B2A86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FE7F7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E7E6E6"/>
        <bgColor rgb="FFEFE7F7"/>
      </patternFill>
    </fill>
    <fill>
      <patternFill patternType="solid">
        <fgColor rgb="FF5B2A86"/>
        <bgColor rgb="FF404040"/>
      </patternFill>
    </fill>
    <fill>
      <patternFill patternType="solid">
        <fgColor rgb="FFFFF8DC"/>
        <bgColor rgb="FFFFF2CC"/>
      </patternFill>
    </fill>
    <fill>
      <patternFill patternType="solid">
        <fgColor rgb="FFF2F2F2"/>
        <bgColor rgb="FFEFE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CE4D6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5B2A8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A6A6A6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A6A6A6"/>
      <rgbColor rgb="FF7F7F7F"/>
      <rgbColor rgb="FF8E7CC3"/>
      <rgbColor rgb="FF993366"/>
      <rgbColor rgb="FFFFF8D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E7E6E6"/>
      <rgbColor rgb="FFFCE4D6"/>
      <rgbColor rgb="FFEFE7F7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878787"/>
      <rgbColor rgb="FF1F4E78"/>
      <rgbColor rgb="FF339966"/>
      <rgbColor rgb="FF003300"/>
      <rgbColor rgb="FF333300"/>
      <rgbColor rgb="FF993300"/>
      <rgbColor rgb="FF993366"/>
      <rgbColor rgb="FF5B2A8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Tarefas abertas por responsável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Painel!D27</c:f>
              <c:strCache>
                <c:ptCount val="1"/>
                <c:pt idx="0">
                  <c:v>🔴 Atrasadas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Painel!$B$28:$B$37</c:f>
              <c:strCache>
                <c:ptCount val="10"/>
                <c:pt idx="0">
                  <c:v>Ana Souza</c:v>
                </c:pt>
                <c:pt idx="1">
                  <c:v>Bruno Lima</c:v>
                </c:pt>
                <c:pt idx="2">
                  <c:v>Carla Mendes</c:v>
                </c:pt>
                <c:pt idx="3">
                  <c:v>Diego Alves</c:v>
                </c:pt>
                <c:pt idx="4">
                  <c:v>Elisa Rocha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Painel!$D$28:$D$37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Painel!E27</c:f>
              <c:strCache>
                <c:ptCount val="1"/>
                <c:pt idx="0">
                  <c:v>🟠 Vencem ≤3 dias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Painel!$B$28:$B$37</c:f>
              <c:strCache>
                <c:ptCount val="10"/>
                <c:pt idx="0">
                  <c:v>Ana Souza</c:v>
                </c:pt>
                <c:pt idx="1">
                  <c:v>Bruno Lima</c:v>
                </c:pt>
                <c:pt idx="2">
                  <c:v>Carla Mendes</c:v>
                </c:pt>
                <c:pt idx="3">
                  <c:v>Diego Alves</c:v>
                </c:pt>
                <c:pt idx="4">
                  <c:v>Elisa Rocha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Painel!$E$28:$E$37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100"/>
        <c:axId val="90605623"/>
        <c:axId val="44594324"/>
      </c:barChart>
      <c:catAx>
        <c:axId val="9060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94324"/>
        <c:crosses val="autoZero"/>
        <c:auto val="1"/>
        <c:lblAlgn val="ctr"/>
        <c:lblOffset val="100"/>
        <c:noMultiLvlLbl val="0"/>
      </c:catAx>
      <c:valAx>
        <c:axId val="44594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56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101160</xdr:rowOff>
    </xdr:from>
    <xdr:to>
      <xdr:col>4</xdr:col>
      <xdr:colOff>465840</xdr:colOff>
      <xdr:row>51</xdr:row>
      <xdr:rowOff>133920</xdr:rowOff>
    </xdr:to>
    <xdr:graphicFrame>
      <xdr:nvGraphicFramePr>
        <xdr:cNvPr id="0" name="Chart 1"/>
        <xdr:cNvGraphicFramePr/>
      </xdr:nvGraphicFramePr>
      <xdr:xfrm>
        <a:off x="141120" y="77630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K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10" min="8" style="0" width="2"/>
    <col collapsed="false" customWidth="true" hidden="true" outlineLevel="0" max="11" min="11" style="0" width="6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true">"Atualizado em "&amp;TEXT(TODAY(),"dd/mm/yyyy")&amp;"  ·  abra todo dia e cobre quem está em vermelho"</f>
        <v>Atualizado em 09/10/2026  ·  abra todo dia e cobre quem está em vermelho</v>
      </c>
    </row>
    <row r="4" customFormat="false" ht="27.75" hidden="false" customHeight="true" outlineLevel="0" collapsed="false">
      <c r="B4" s="3" t="s">
        <v>1</v>
      </c>
      <c r="C4" s="4" t="s">
        <v>2</v>
      </c>
      <c r="D4" s="5" t="s">
        <v>3</v>
      </c>
      <c r="E4" s="6" t="s">
        <v>4</v>
      </c>
      <c r="F4" s="7" t="s">
        <v>5</v>
      </c>
      <c r="G4" s="8" t="s">
        <v>6</v>
      </c>
    </row>
    <row r="5" customFormat="false" ht="43.5" hidden="false" customHeight="true" outlineLevel="0" collapsed="false">
      <c r="B5" s="9" t="n">
        <f aca="false">COUNTIFS(Artistas!$F$5:$F$104,"Ativo")</f>
        <v>3</v>
      </c>
      <c r="C5" s="10" t="n">
        <f aca="false">COUNTIFS(Lançamentos!$A$2:$A$401,"&lt;&gt;",Lançamentos!$G$2:$G$401,"&lt;&gt;Concluído")</f>
        <v>10</v>
      </c>
      <c r="D5" s="11" t="n">
        <f aca="true">COUNTIFS(Lançamentos!$A$2:$A$401,"&lt;&gt;",Lançamentos!$G$2:$G$401,"&lt;&gt;Concluído",Lançamentos!$F$2:$F$401,"&lt;"&amp;TODAY())</f>
        <v>2</v>
      </c>
      <c r="E5" s="12" t="n">
        <f aca="true">COUNTIFS(Lançamentos!$A$2:$A$401,"&lt;&gt;",Lançamentos!$G$2:$G$401,"&lt;&gt;Concluído",Lançamentos!$F$2:$F$401,"&gt;="&amp;TODAY(),Lançamentos!$F$2:$F$401,"&lt;="&amp;TODAY()+3)</f>
        <v>4</v>
      </c>
      <c r="F5" s="13" t="n">
        <f aca="false">COUNTIFS(Lançamentos!$A$2:$A$401,"&lt;&gt;",Lançamentos!$G$2:$G$401,"Concluído")</f>
        <v>5</v>
      </c>
      <c r="G5" s="14" t="n">
        <f aca="false">IFERROR(F5/COUNTIFS(Lançamentos!$A$2:$A$401,"&lt;&gt;"),0)</f>
        <v>0.333333333333333</v>
      </c>
    </row>
    <row r="7" customFormat="false" ht="15" hidden="false" customHeight="false" outlineLevel="0" collapsed="false">
      <c r="B7" s="15" t="s">
        <v>7</v>
      </c>
    </row>
    <row r="8" customFormat="false" ht="15" hidden="false" customHeight="false" outlineLevel="0" collapsed="false">
      <c r="B8" s="16" t="s">
        <v>8</v>
      </c>
      <c r="C8" s="16" t="s">
        <v>9</v>
      </c>
      <c r="D8" s="16" t="s">
        <v>10</v>
      </c>
      <c r="E8" s="16" t="s">
        <v>11</v>
      </c>
      <c r="F8" s="16" t="s">
        <v>12</v>
      </c>
      <c r="G8" s="16" t="s">
        <v>13</v>
      </c>
    </row>
    <row r="9" customFormat="false" ht="15" hidden="false" customHeight="false" outlineLevel="0" collapsed="false">
      <c r="B9" s="17" t="str">
        <f aca="false">IF($K9="",IF(AND(1=1,COLUMN()=2),"Nada para cobrar hoje 🎉",""),INDEX(Lançamentos!$E:$E,$K9))</f>
        <v>Bruno Lima</v>
      </c>
      <c r="C9" s="18" t="str">
        <f aca="false">IF($K9="",IF(AND(1=1,COLUMN()=2),"Nada para cobrar hoje 🎉",""),INDEX(Lançamentos!$A:$A,$K9))</f>
        <v>Luna Ribeiro</v>
      </c>
      <c r="D9" s="18" t="str">
        <f aca="false">IF($K9="",IF(AND(1=1,COLUMN()=2),"Nada para cobrar hoje 🎉",""),INDEX(Lançamentos!$D:$D,$K9))</f>
        <v>Pitch editorial Spotify</v>
      </c>
      <c r="E9" s="18" t="str">
        <f aca="false">IF($K9="",IF(AND(1=1,COLUMN()=2),"Nada para cobrar hoje 🎉",""),INDEX(Lançamentos!$B:$B,$K9))</f>
        <v>Maré Alta</v>
      </c>
      <c r="F9" s="19" t="n">
        <f aca="false">IF($K9="",IF(AND(1=1,COLUMN()=2),"Nada para cobrar hoje 🎉",""),INDEX(Lançamentos!$F:$F,$K9))</f>
        <v>46301</v>
      </c>
      <c r="G9" s="18" t="str">
        <f aca="false">IF($K9="",IF(AND(1=1,COLUMN()=2),"Nada para cobrar hoje 🎉",""),INDEX(Lançamentos!$I:$I,$K9))</f>
        <v>🔴 COBRAR · 3 dia(s) atrasado</v>
      </c>
      <c r="K9" s="20" t="n">
        <f aca="false">IFERROR(MATCH(SMALL(Lançamentos!$L$2:$L$401,1),Lançamentos!$L$2:$L$401,0)+1,"")</f>
        <v>5</v>
      </c>
    </row>
    <row r="10" customFormat="false" ht="15" hidden="false" customHeight="false" outlineLevel="0" collapsed="false">
      <c r="B10" s="17" t="str">
        <f aca="false">IF($K10="",IF(AND(2=1,COLUMN()=2),"Nada para cobrar hoje 🎉",""),INDEX(Lançamentos!$E:$E,$K10))</f>
        <v>Carla Mendes</v>
      </c>
      <c r="C10" s="18" t="str">
        <f aca="false">IF($K10="",IF(AND(2=1,COLUMN()=2),"Nada para cobrar hoje 🎉",""),INDEX(Lançamentos!$A:$A,$K10))</f>
        <v>Luna Ribeiro</v>
      </c>
      <c r="D10" s="18" t="str">
        <f aca="false">IF($K10="",IF(AND(2=1,COLUMN()=2),"Nada para cobrar hoje 🎉",""),INDEX(Lançamentos!$D:$D,$K10))</f>
        <v>Pré-save</v>
      </c>
      <c r="E10" s="18" t="str">
        <f aca="false">IF($K10="",IF(AND(2=1,COLUMN()=2),"Nada para cobrar hoje 🎉",""),INDEX(Lançamentos!$B:$B,$K10))</f>
        <v>Maré Alta</v>
      </c>
      <c r="F10" s="19" t="n">
        <f aca="false">IF($K10="",IF(AND(2=1,COLUMN()=2),"Nada para cobrar hoje 🎉",""),INDEX(Lançamentos!$F:$F,$K10))</f>
        <v>46301</v>
      </c>
      <c r="G10" s="18" t="str">
        <f aca="false">IF($K10="",IF(AND(2=1,COLUMN()=2),"Nada para cobrar hoje 🎉",""),INDEX(Lançamentos!$I:$I,$K10))</f>
        <v>🔴 COBRAR · 3 dia(s) atrasado</v>
      </c>
      <c r="K10" s="20" t="n">
        <f aca="false">IFERROR(MATCH(SMALL(Lançamentos!$L$2:$L$401,2),Lançamentos!$L$2:$L$401,0)+1,"")</f>
        <v>6</v>
      </c>
    </row>
    <row r="11" customFormat="false" ht="15" hidden="false" customHeight="false" outlineLevel="0" collapsed="false">
      <c r="B11" s="17" t="str">
        <f aca="false">IF($K11="",IF(AND(3=1,COLUMN()=2),"Nada para cobrar hoje 🎉",""),INDEX(Lançamentos!$E:$E,$K11))</f>
        <v>Elisa Rocha</v>
      </c>
      <c r="C11" s="18" t="str">
        <f aca="false">IF($K11="",IF(AND(3=1,COLUMN()=2),"Nada para cobrar hoje 🎉",""),INDEX(Lançamentos!$A:$A,$K11))</f>
        <v>Luna Ribeiro</v>
      </c>
      <c r="D11" s="18" t="str">
        <f aca="false">IF($K11="",IF(AND(3=1,COLUMN()=2),"Nada para cobrar hoje 🎉",""),INDEX(Lançamentos!$D:$D,$K11))</f>
        <v>Release / assessoria</v>
      </c>
      <c r="E11" s="18" t="str">
        <f aca="false">IF($K11="",IF(AND(3=1,COLUMN()=2),"Nada para cobrar hoje 🎉",""),INDEX(Lançamentos!$B:$B,$K11))</f>
        <v>Maré Alta</v>
      </c>
      <c r="F11" s="19" t="n">
        <f aca="false">IF($K11="",IF(AND(3=1,COLUMN()=2),"Nada para cobrar hoje 🎉",""),INDEX(Lançamentos!$F:$F,$K11))</f>
        <v>46304</v>
      </c>
      <c r="G11" s="18" t="str">
        <f aca="false">IF($K11="",IF(AND(3=1,COLUMN()=2),"Nada para cobrar hoje 🎉",""),INDEX(Lançamentos!$I:$I,$K11))</f>
        <v>🟠 Vence HOJE</v>
      </c>
      <c r="K11" s="20" t="n">
        <f aca="false">IFERROR(MATCH(SMALL(Lançamentos!$L$2:$L$401,3),Lançamentos!$L$2:$L$401,0)+1,"")</f>
        <v>7</v>
      </c>
    </row>
    <row r="12" customFormat="false" ht="15" hidden="false" customHeight="false" outlineLevel="0" collapsed="false">
      <c r="B12" s="17" t="str">
        <f aca="false">IF($K12="",IF(AND(4=1,COLUMN()=2),"Nada para cobrar hoje 🎉",""),INDEX(Lançamentos!$E:$E,$K12))</f>
        <v>Carla Mendes</v>
      </c>
      <c r="C12" s="18" t="str">
        <f aca="false">IF($K12="",IF(AND(4=1,COLUMN()=2),"Nada para cobrar hoje 🎉",""),INDEX(Lançamentos!$A:$A,$K12))</f>
        <v>Luna Ribeiro</v>
      </c>
      <c r="D12" s="18" t="str">
        <f aca="false">IF($K12="",IF(AND(4=1,COLUMN()=2),"Nada para cobrar hoje 🎉",""),INDEX(Lançamentos!$D:$D,$K12))</f>
        <v>Conteúdo para redes (teasers)</v>
      </c>
      <c r="E12" s="18" t="str">
        <f aca="false">IF($K12="",IF(AND(4=1,COLUMN()=2),"Nada para cobrar hoje 🎉",""),INDEX(Lançamentos!$B:$B,$K12))</f>
        <v>Maré Alta</v>
      </c>
      <c r="F12" s="19" t="n">
        <f aca="false">IF($K12="",IF(AND(4=1,COLUMN()=2),"Nada para cobrar hoje 🎉",""),INDEX(Lançamentos!$F:$F,$K12))</f>
        <v>46304</v>
      </c>
      <c r="G12" s="18" t="str">
        <f aca="false">IF($K12="",IF(AND(4=1,COLUMN()=2),"Nada para cobrar hoje 🎉",""),INDEX(Lançamentos!$I:$I,$K12))</f>
        <v>🟠 Vence HOJE</v>
      </c>
      <c r="K12" s="20" t="n">
        <f aca="false">IFERROR(MATCH(SMALL(Lançamentos!$L$2:$L$401,4),Lançamentos!$L$2:$L$401,0)+1,"")</f>
        <v>8</v>
      </c>
    </row>
    <row r="13" customFormat="false" ht="15" hidden="false" customHeight="false" outlineLevel="0" collapsed="false">
      <c r="B13" s="17" t="str">
        <f aca="false">IF($K13="",IF(AND(5=1,COLUMN()=2),"Nada para cobrar hoje 🎉",""),INDEX(Lançamentos!$E:$E,$K13))</f>
        <v>Ana Souza</v>
      </c>
      <c r="C13" s="18" t="str">
        <f aca="false">IF($K13="",IF(AND(5=1,COLUMN()=2),"Nada para cobrar hoje 🎉",""),INDEX(Lançamentos!$A:$A,$K13))</f>
        <v>MC Taveira</v>
      </c>
      <c r="D13" s="18" t="str">
        <f aca="false">IF($K13="",IF(AND(5=1,COLUMN()=2),"Nada para cobrar hoje 🎉",""),INDEX(Lançamentos!$D:$D,$K13))</f>
        <v>Capa / arte</v>
      </c>
      <c r="E13" s="18" t="str">
        <f aca="false">IF($K13="",IF(AND(5=1,COLUMN()=2),"Nada para cobrar hoje 🎉",""),INDEX(Lançamentos!$B:$B,$K13))</f>
        <v>Favela Sonha</v>
      </c>
      <c r="F13" s="19" t="n">
        <f aca="false">IF($K13="",IF(AND(5=1,COLUMN()=2),"Nada para cobrar hoje 🎉",""),INDEX(Lançamentos!$F:$F,$K13))</f>
        <v>46304</v>
      </c>
      <c r="G13" s="18" t="str">
        <f aca="false">IF($K13="",IF(AND(5=1,COLUMN()=2),"Nada para cobrar hoje 🎉",""),INDEX(Lançamentos!$I:$I,$K13))</f>
        <v>🟠 Vence HOJE</v>
      </c>
      <c r="K13" s="20" t="n">
        <f aca="false">IFERROR(MATCH(SMALL(Lançamentos!$L$2:$L$401,5),Lançamentos!$L$2:$L$401,0)+1,"")</f>
        <v>11</v>
      </c>
    </row>
    <row r="14" customFormat="false" ht="15" hidden="false" customHeight="false" outlineLevel="0" collapsed="false">
      <c r="B14" s="17" t="str">
        <f aca="false">IF($K14="",IF(AND(6=1,COLUMN()=2),"Nada para cobrar hoje 🎉",""),INDEX(Lançamentos!$E:$E,$K14))</f>
        <v>Diego Alves</v>
      </c>
      <c r="C14" s="18" t="str">
        <f aca="false">IF($K14="",IF(AND(6=1,COLUMN()=2),"Nada para cobrar hoje 🎉",""),INDEX(Lançamentos!$A:$A,$K14))</f>
        <v>Banda Aurora</v>
      </c>
      <c r="D14" s="18" t="str">
        <f aca="false">IF($K14="",IF(AND(6=1,COLUMN()=2),"Nada para cobrar hoje 🎉",""),INDEX(Lançamentos!$D:$D,$K14))</f>
        <v>Relatório pós-lançamento</v>
      </c>
      <c r="E14" s="18" t="str">
        <f aca="false">IF($K14="",IF(AND(6=1,COLUMN()=2),"Nada para cobrar hoje 🎉",""),INDEX(Lançamentos!$B:$B,$K14))</f>
        <v>Céu de Outubro</v>
      </c>
      <c r="F14" s="19" t="n">
        <f aca="false">IF($K14="",IF(AND(6=1,COLUMN()=2),"Nada para cobrar hoje 🎉",""),INDEX(Lançamentos!$F:$F,$K14))</f>
        <v>46304</v>
      </c>
      <c r="G14" s="18" t="str">
        <f aca="false">IF($K14="",IF(AND(6=1,COLUMN()=2),"Nada para cobrar hoje 🎉",""),INDEX(Lançamentos!$I:$I,$K14))</f>
        <v>🟠 Vence HOJE</v>
      </c>
      <c r="K14" s="20" t="n">
        <f aca="false">IFERROR(MATCH(SMALL(Lançamentos!$L$2:$L$401,6),Lançamentos!$L$2:$L$401,0)+1,"")</f>
        <v>16</v>
      </c>
    </row>
    <row r="15" customFormat="false" ht="15" hidden="false" customHeight="false" outlineLevel="0" collapsed="false">
      <c r="B15" s="17" t="str">
        <f aca="false">IF($K15="",IF(AND(7=1,COLUMN()=2),"Nada para cobrar hoje 🎉",""),INDEX(Lançamentos!$E:$E,$K15))</f>
        <v/>
      </c>
      <c r="C15" s="18" t="str">
        <f aca="false">IF($K15="",IF(AND(7=1,COLUMN()=2),"Nada para cobrar hoje 🎉",""),INDEX(Lançamentos!$A:$A,$K15))</f>
        <v/>
      </c>
      <c r="D15" s="18" t="str">
        <f aca="false">IF($K15="",IF(AND(7=1,COLUMN()=2),"Nada para cobrar hoje 🎉",""),INDEX(Lançamentos!$D:$D,$K15))</f>
        <v/>
      </c>
      <c r="E15" s="18" t="str">
        <f aca="false">IF($K15="",IF(AND(7=1,COLUMN()=2),"Nada para cobrar hoje 🎉",""),INDEX(Lançamentos!$B:$B,$K15))</f>
        <v/>
      </c>
      <c r="F15" s="19" t="str">
        <f aca="false">IF($K15="",IF(AND(7=1,COLUMN()=2),"Nada para cobrar hoje 🎉",""),INDEX(Lançamentos!$F:$F,$K15))</f>
        <v/>
      </c>
      <c r="G15" s="18" t="str">
        <f aca="false">IF($K15="",IF(AND(7=1,COLUMN()=2),"Nada para cobrar hoje 🎉",""),INDEX(Lançamentos!$I:$I,$K15))</f>
        <v/>
      </c>
      <c r="K15" s="0" t="str">
        <f aca="false">IFERROR(MATCH(SMALL(Lançamentos!$L$2:$L$401,7),Lançamentos!$L$2:$L$401,0)+1,"")</f>
        <v/>
      </c>
    </row>
    <row r="16" customFormat="false" ht="15" hidden="false" customHeight="false" outlineLevel="0" collapsed="false">
      <c r="B16" s="17" t="str">
        <f aca="false">IF($K16="",IF(AND(8=1,COLUMN()=2),"Nada para cobrar hoje 🎉",""),INDEX(Lançamentos!$E:$E,$K16))</f>
        <v/>
      </c>
      <c r="C16" s="18" t="str">
        <f aca="false">IF($K16="",IF(AND(8=1,COLUMN()=2),"Nada para cobrar hoje 🎉",""),INDEX(Lançamentos!$A:$A,$K16))</f>
        <v/>
      </c>
      <c r="D16" s="18" t="str">
        <f aca="false">IF($K16="",IF(AND(8=1,COLUMN()=2),"Nada para cobrar hoje 🎉",""),INDEX(Lançamentos!$D:$D,$K16))</f>
        <v/>
      </c>
      <c r="E16" s="18" t="str">
        <f aca="false">IF($K16="",IF(AND(8=1,COLUMN()=2),"Nada para cobrar hoje 🎉",""),INDEX(Lançamentos!$B:$B,$K16))</f>
        <v/>
      </c>
      <c r="F16" s="19" t="str">
        <f aca="false">IF($K16="",IF(AND(8=1,COLUMN()=2),"Nada para cobrar hoje 🎉",""),INDEX(Lançamentos!$F:$F,$K16))</f>
        <v/>
      </c>
      <c r="G16" s="18" t="str">
        <f aca="false">IF($K16="",IF(AND(8=1,COLUMN()=2),"Nada para cobrar hoje 🎉",""),INDEX(Lançamentos!$I:$I,$K16))</f>
        <v/>
      </c>
      <c r="K16" s="0" t="str">
        <f aca="false">IFERROR(MATCH(SMALL(Lançamentos!$L$2:$L$401,8),Lançamentos!$L$2:$L$401,0)+1,"")</f>
        <v/>
      </c>
    </row>
    <row r="17" customFormat="false" ht="15" hidden="false" customHeight="false" outlineLevel="0" collapsed="false">
      <c r="B17" s="17" t="str">
        <f aca="false">IF($K17="",IF(AND(9=1,COLUMN()=2),"Nada para cobrar hoje 🎉",""),INDEX(Lançamentos!$E:$E,$K17))</f>
        <v/>
      </c>
      <c r="C17" s="18" t="str">
        <f aca="false">IF($K17="",IF(AND(9=1,COLUMN()=2),"Nada para cobrar hoje 🎉",""),INDEX(Lançamentos!$A:$A,$K17))</f>
        <v/>
      </c>
      <c r="D17" s="18" t="str">
        <f aca="false">IF($K17="",IF(AND(9=1,COLUMN()=2),"Nada para cobrar hoje 🎉",""),INDEX(Lançamentos!$D:$D,$K17))</f>
        <v/>
      </c>
      <c r="E17" s="18" t="str">
        <f aca="false">IF($K17="",IF(AND(9=1,COLUMN()=2),"Nada para cobrar hoje 🎉",""),INDEX(Lançamentos!$B:$B,$K17))</f>
        <v/>
      </c>
      <c r="F17" s="19" t="str">
        <f aca="false">IF($K17="",IF(AND(9=1,COLUMN()=2),"Nada para cobrar hoje 🎉",""),INDEX(Lançamentos!$F:$F,$K17))</f>
        <v/>
      </c>
      <c r="G17" s="18" t="str">
        <f aca="false">IF($K17="",IF(AND(9=1,COLUMN()=2),"Nada para cobrar hoje 🎉",""),INDEX(Lançamentos!$I:$I,$K17))</f>
        <v/>
      </c>
      <c r="K17" s="0" t="str">
        <f aca="false">IFERROR(MATCH(SMALL(Lançamentos!$L$2:$L$401,9),Lançamentos!$L$2:$L$401,0)+1,"")</f>
        <v/>
      </c>
    </row>
    <row r="18" customFormat="false" ht="15" hidden="false" customHeight="false" outlineLevel="0" collapsed="false">
      <c r="B18" s="17" t="str">
        <f aca="false">IF($K18="",IF(AND(10=1,COLUMN()=2),"Nada para cobrar hoje 🎉",""),INDEX(Lançamentos!$E:$E,$K18))</f>
        <v/>
      </c>
      <c r="C18" s="18" t="str">
        <f aca="false">IF($K18="",IF(AND(10=1,COLUMN()=2),"Nada para cobrar hoje 🎉",""),INDEX(Lançamentos!$A:$A,$K18))</f>
        <v/>
      </c>
      <c r="D18" s="18" t="str">
        <f aca="false">IF($K18="",IF(AND(10=1,COLUMN()=2),"Nada para cobrar hoje 🎉",""),INDEX(Lançamentos!$D:$D,$K18))</f>
        <v/>
      </c>
      <c r="E18" s="18" t="str">
        <f aca="false">IF($K18="",IF(AND(10=1,COLUMN()=2),"Nada para cobrar hoje 🎉",""),INDEX(Lançamentos!$B:$B,$K18))</f>
        <v/>
      </c>
      <c r="F18" s="19" t="str">
        <f aca="false">IF($K18="",IF(AND(10=1,COLUMN()=2),"Nada para cobrar hoje 🎉",""),INDEX(Lançamentos!$F:$F,$K18))</f>
        <v/>
      </c>
      <c r="G18" s="18" t="str">
        <f aca="false">IF($K18="",IF(AND(10=1,COLUMN()=2),"Nada para cobrar hoje 🎉",""),INDEX(Lançamentos!$I:$I,$K18))</f>
        <v/>
      </c>
      <c r="K18" s="0" t="str">
        <f aca="false">IFERROR(MATCH(SMALL(Lançamentos!$L$2:$L$401,10),Lançamentos!$L$2:$L$401,0)+1,"")</f>
        <v/>
      </c>
    </row>
    <row r="19" customFormat="false" ht="15" hidden="false" customHeight="false" outlineLevel="0" collapsed="false">
      <c r="B19" s="17" t="str">
        <f aca="false">IF($K19="",IF(AND(11=1,COLUMN()=2),"Nada para cobrar hoje 🎉",""),INDEX(Lançamentos!$E:$E,$K19))</f>
        <v/>
      </c>
      <c r="C19" s="18" t="str">
        <f aca="false">IF($K19="",IF(AND(11=1,COLUMN()=2),"Nada para cobrar hoje 🎉",""),INDEX(Lançamentos!$A:$A,$K19))</f>
        <v/>
      </c>
      <c r="D19" s="18" t="str">
        <f aca="false">IF($K19="",IF(AND(11=1,COLUMN()=2),"Nada para cobrar hoje 🎉",""),INDEX(Lançamentos!$D:$D,$K19))</f>
        <v/>
      </c>
      <c r="E19" s="18" t="str">
        <f aca="false">IF($K19="",IF(AND(11=1,COLUMN()=2),"Nada para cobrar hoje 🎉",""),INDEX(Lançamentos!$B:$B,$K19))</f>
        <v/>
      </c>
      <c r="F19" s="19" t="str">
        <f aca="false">IF($K19="",IF(AND(11=1,COLUMN()=2),"Nada para cobrar hoje 🎉",""),INDEX(Lançamentos!$F:$F,$K19))</f>
        <v/>
      </c>
      <c r="G19" s="18" t="str">
        <f aca="false">IF($K19="",IF(AND(11=1,COLUMN()=2),"Nada para cobrar hoje 🎉",""),INDEX(Lançamentos!$I:$I,$K19))</f>
        <v/>
      </c>
      <c r="K19" s="0" t="str">
        <f aca="false">IFERROR(MATCH(SMALL(Lançamentos!$L$2:$L$401,11),Lançamentos!$L$2:$L$401,0)+1,"")</f>
        <v/>
      </c>
    </row>
    <row r="20" customFormat="false" ht="15" hidden="false" customHeight="false" outlineLevel="0" collapsed="false">
      <c r="B20" s="17" t="str">
        <f aca="false">IF($K20="",IF(AND(12=1,COLUMN()=2),"Nada para cobrar hoje 🎉",""),INDEX(Lançamentos!$E:$E,$K20))</f>
        <v/>
      </c>
      <c r="C20" s="18" t="str">
        <f aca="false">IF($K20="",IF(AND(12=1,COLUMN()=2),"Nada para cobrar hoje 🎉",""),INDEX(Lançamentos!$A:$A,$K20))</f>
        <v/>
      </c>
      <c r="D20" s="18" t="str">
        <f aca="false">IF($K20="",IF(AND(12=1,COLUMN()=2),"Nada para cobrar hoje 🎉",""),INDEX(Lançamentos!$D:$D,$K20))</f>
        <v/>
      </c>
      <c r="E20" s="18" t="str">
        <f aca="false">IF($K20="",IF(AND(12=1,COLUMN()=2),"Nada para cobrar hoje 🎉",""),INDEX(Lançamentos!$B:$B,$K20))</f>
        <v/>
      </c>
      <c r="F20" s="19" t="str">
        <f aca="false">IF($K20="",IF(AND(12=1,COLUMN()=2),"Nada para cobrar hoje 🎉",""),INDEX(Lançamentos!$F:$F,$K20))</f>
        <v/>
      </c>
      <c r="G20" s="18" t="str">
        <f aca="false">IF($K20="",IF(AND(12=1,COLUMN()=2),"Nada para cobrar hoje 🎉",""),INDEX(Lançamentos!$I:$I,$K20))</f>
        <v/>
      </c>
      <c r="K20" s="0" t="str">
        <f aca="false">IFERROR(MATCH(SMALL(Lançamentos!$L$2:$L$401,12),Lançamentos!$L$2:$L$401,0)+1,"")</f>
        <v/>
      </c>
    </row>
    <row r="21" customFormat="false" ht="15" hidden="false" customHeight="false" outlineLevel="0" collapsed="false">
      <c r="B21" s="17" t="str">
        <f aca="false">IF($K21="",IF(AND(13=1,COLUMN()=2),"Nada para cobrar hoje 🎉",""),INDEX(Lançamentos!$E:$E,$K21))</f>
        <v/>
      </c>
      <c r="C21" s="18" t="str">
        <f aca="false">IF($K21="",IF(AND(13=1,COLUMN()=2),"Nada para cobrar hoje 🎉",""),INDEX(Lançamentos!$A:$A,$K21))</f>
        <v/>
      </c>
      <c r="D21" s="18" t="str">
        <f aca="false">IF($K21="",IF(AND(13=1,COLUMN()=2),"Nada para cobrar hoje 🎉",""),INDEX(Lançamentos!$D:$D,$K21))</f>
        <v/>
      </c>
      <c r="E21" s="18" t="str">
        <f aca="false">IF($K21="",IF(AND(13=1,COLUMN()=2),"Nada para cobrar hoje 🎉",""),INDEX(Lançamentos!$B:$B,$K21))</f>
        <v/>
      </c>
      <c r="F21" s="19" t="str">
        <f aca="false">IF($K21="",IF(AND(13=1,COLUMN()=2),"Nada para cobrar hoje 🎉",""),INDEX(Lançamentos!$F:$F,$K21))</f>
        <v/>
      </c>
      <c r="G21" s="18" t="str">
        <f aca="false">IF($K21="",IF(AND(13=1,COLUMN()=2),"Nada para cobrar hoje 🎉",""),INDEX(Lançamentos!$I:$I,$K21))</f>
        <v/>
      </c>
      <c r="K21" s="0" t="str">
        <f aca="false">IFERROR(MATCH(SMALL(Lançamentos!$L$2:$L$401,13),Lançamentos!$L$2:$L$401,0)+1,"")</f>
        <v/>
      </c>
    </row>
    <row r="22" customFormat="false" ht="15" hidden="false" customHeight="false" outlineLevel="0" collapsed="false">
      <c r="B22" s="17" t="str">
        <f aca="false">IF($K22="",IF(AND(14=1,COLUMN()=2),"Nada para cobrar hoje 🎉",""),INDEX(Lançamentos!$E:$E,$K22))</f>
        <v/>
      </c>
      <c r="C22" s="18" t="str">
        <f aca="false">IF($K22="",IF(AND(14=1,COLUMN()=2),"Nada para cobrar hoje 🎉",""),INDEX(Lançamentos!$A:$A,$K22))</f>
        <v/>
      </c>
      <c r="D22" s="18" t="str">
        <f aca="false">IF($K22="",IF(AND(14=1,COLUMN()=2),"Nada para cobrar hoje 🎉",""),INDEX(Lançamentos!$D:$D,$K22))</f>
        <v/>
      </c>
      <c r="E22" s="18" t="str">
        <f aca="false">IF($K22="",IF(AND(14=1,COLUMN()=2),"Nada para cobrar hoje 🎉",""),INDEX(Lançamentos!$B:$B,$K22))</f>
        <v/>
      </c>
      <c r="F22" s="19" t="str">
        <f aca="false">IF($K22="",IF(AND(14=1,COLUMN()=2),"Nada para cobrar hoje 🎉",""),INDEX(Lançamentos!$F:$F,$K22))</f>
        <v/>
      </c>
      <c r="G22" s="18" t="str">
        <f aca="false">IF($K22="",IF(AND(14=1,COLUMN()=2),"Nada para cobrar hoje 🎉",""),INDEX(Lançamentos!$I:$I,$K22))</f>
        <v/>
      </c>
      <c r="K22" s="0" t="str">
        <f aca="false">IFERROR(MATCH(SMALL(Lançamentos!$L$2:$L$401,14),Lançamentos!$L$2:$L$401,0)+1,"")</f>
        <v/>
      </c>
    </row>
    <row r="23" customFormat="false" ht="15" hidden="false" customHeight="false" outlineLevel="0" collapsed="false">
      <c r="B23" s="17" t="str">
        <f aca="false">IF($K23="",IF(AND(15=1,COLUMN()=2),"Nada para cobrar hoje 🎉",""),INDEX(Lançamentos!$E:$E,$K23))</f>
        <v/>
      </c>
      <c r="C23" s="18" t="str">
        <f aca="false">IF($K23="",IF(AND(15=1,COLUMN()=2),"Nada para cobrar hoje 🎉",""),INDEX(Lançamentos!$A:$A,$K23))</f>
        <v/>
      </c>
      <c r="D23" s="18" t="str">
        <f aca="false">IF($K23="",IF(AND(15=1,COLUMN()=2),"Nada para cobrar hoje 🎉",""),INDEX(Lançamentos!$D:$D,$K23))</f>
        <v/>
      </c>
      <c r="E23" s="18" t="str">
        <f aca="false">IF($K23="",IF(AND(15=1,COLUMN()=2),"Nada para cobrar hoje 🎉",""),INDEX(Lançamentos!$B:$B,$K23))</f>
        <v/>
      </c>
      <c r="F23" s="19" t="str">
        <f aca="false">IF($K23="",IF(AND(15=1,COLUMN()=2),"Nada para cobrar hoje 🎉",""),INDEX(Lançamentos!$F:$F,$K23))</f>
        <v/>
      </c>
      <c r="G23" s="18" t="str">
        <f aca="false">IF($K23="",IF(AND(15=1,COLUMN()=2),"Nada para cobrar hoje 🎉",""),INDEX(Lançamentos!$I:$I,$K23))</f>
        <v/>
      </c>
      <c r="K23" s="0" t="str">
        <f aca="false">IFERROR(MATCH(SMALL(Lançamentos!$L$2:$L$401,15),Lançamentos!$L$2:$L$401,0)+1,"")</f>
        <v/>
      </c>
    </row>
    <row r="24" customFormat="false" ht="15" hidden="false" customHeight="false" outlineLevel="0" collapsed="false">
      <c r="B24" s="21" t="s">
        <v>14</v>
      </c>
    </row>
    <row r="26" customFormat="false" ht="15" hidden="false" customHeight="false" outlineLevel="0" collapsed="false">
      <c r="B26" s="22" t="s">
        <v>15</v>
      </c>
    </row>
    <row r="27" customFormat="false" ht="15" hidden="false" customHeight="false" outlineLevel="0" collapsed="false">
      <c r="B27" s="16" t="s">
        <v>8</v>
      </c>
      <c r="C27" s="16" t="s">
        <v>16</v>
      </c>
      <c r="D27" s="16" t="s">
        <v>17</v>
      </c>
      <c r="E27" s="16" t="s">
        <v>18</v>
      </c>
      <c r="F27" s="16" t="s">
        <v>13</v>
      </c>
    </row>
    <row r="28" customFormat="false" ht="15" hidden="false" customHeight="false" outlineLevel="0" collapsed="false">
      <c r="B28" s="18" t="str">
        <f aca="false">IF(Responsáveis!$A$5="","",Responsáveis!A5)</f>
        <v>Ana Souza</v>
      </c>
      <c r="C28" s="23" t="n">
        <f aca="false">IF(Responsáveis!$A$5="","",Responsáveis!E5)</f>
        <v>2</v>
      </c>
      <c r="D28" s="23" t="n">
        <f aca="false">IF(Responsáveis!$A$5="","",Responsáveis!F5)</f>
        <v>0</v>
      </c>
      <c r="E28" s="23" t="n">
        <f aca="false">IF(Responsáveis!$A$5="","",Responsáveis!G5)</f>
        <v>1</v>
      </c>
      <c r="F28" s="24" t="str">
        <f aca="false">IF(Responsáveis!$A$5="","",Responsáveis!H5)</f>
        <v>🟠 Lembrar esta semana</v>
      </c>
    </row>
    <row r="29" customFormat="false" ht="15" hidden="false" customHeight="false" outlineLevel="0" collapsed="false">
      <c r="B29" s="18" t="str">
        <f aca="false">IF(Responsáveis!$A$6="","",Responsáveis!A6)</f>
        <v>Bruno Lima</v>
      </c>
      <c r="C29" s="23" t="n">
        <f aca="false">IF(Responsáveis!$A$6="","",Responsáveis!E6)</f>
        <v>3</v>
      </c>
      <c r="D29" s="23" t="n">
        <f aca="false">IF(Responsáveis!$A$6="","",Responsáveis!F6)</f>
        <v>1</v>
      </c>
      <c r="E29" s="23" t="n">
        <f aca="false">IF(Responsáveis!$A$6="","",Responsáveis!G6)</f>
        <v>0</v>
      </c>
      <c r="F29" s="24" t="str">
        <f aca="false">IF(Responsáveis!$A$6="","",Responsáveis!H6)</f>
        <v>🔴 COBRAR hoje</v>
      </c>
    </row>
    <row r="30" customFormat="false" ht="15" hidden="false" customHeight="false" outlineLevel="0" collapsed="false">
      <c r="B30" s="18" t="str">
        <f aca="false">IF(Responsáveis!$A$7="","",Responsáveis!A7)</f>
        <v>Carla Mendes</v>
      </c>
      <c r="C30" s="23" t="n">
        <f aca="false">IF(Responsáveis!$A$7="","",Responsáveis!E7)</f>
        <v>2</v>
      </c>
      <c r="D30" s="23" t="n">
        <f aca="false">IF(Responsáveis!$A$7="","",Responsáveis!F7)</f>
        <v>1</v>
      </c>
      <c r="E30" s="23" t="n">
        <f aca="false">IF(Responsáveis!$A$7="","",Responsáveis!G7)</f>
        <v>1</v>
      </c>
      <c r="F30" s="24" t="str">
        <f aca="false">IF(Responsáveis!$A$7="","",Responsáveis!H7)</f>
        <v>🔴 COBRAR hoje</v>
      </c>
    </row>
    <row r="31" customFormat="false" ht="15" hidden="false" customHeight="false" outlineLevel="0" collapsed="false">
      <c r="B31" s="18" t="str">
        <f aca="false">IF(Responsáveis!$A$8="","",Responsáveis!A8)</f>
        <v>Diego Alves</v>
      </c>
      <c r="C31" s="23" t="n">
        <f aca="false">IF(Responsáveis!$A$8="","",Responsáveis!E8)</f>
        <v>2</v>
      </c>
      <c r="D31" s="23" t="n">
        <f aca="false">IF(Responsáveis!$A$8="","",Responsáveis!F8)</f>
        <v>0</v>
      </c>
      <c r="E31" s="23" t="n">
        <f aca="false">IF(Responsáveis!$A$8="","",Responsáveis!G8)</f>
        <v>1</v>
      </c>
      <c r="F31" s="24" t="str">
        <f aca="false">IF(Responsáveis!$A$8="","",Responsáveis!H8)</f>
        <v>🟠 Lembrar esta semana</v>
      </c>
    </row>
    <row r="32" customFormat="false" ht="15" hidden="false" customHeight="false" outlineLevel="0" collapsed="false">
      <c r="B32" s="18" t="str">
        <f aca="false">IF(Responsáveis!$A$9="","",Responsáveis!A9)</f>
        <v>Elisa Rocha</v>
      </c>
      <c r="C32" s="23" t="n">
        <f aca="false">IF(Responsáveis!$A$9="","",Responsáveis!E9)</f>
        <v>1</v>
      </c>
      <c r="D32" s="23" t="n">
        <f aca="false">IF(Responsáveis!$A$9="","",Responsáveis!F9)</f>
        <v>0</v>
      </c>
      <c r="E32" s="23" t="n">
        <f aca="false">IF(Responsáveis!$A$9="","",Responsáveis!G9)</f>
        <v>1</v>
      </c>
      <c r="F32" s="24" t="str">
        <f aca="false">IF(Responsáveis!$A$9="","",Responsáveis!H9)</f>
        <v>🟠 Lembrar esta semana</v>
      </c>
    </row>
    <row r="33" customFormat="false" ht="15" hidden="false" customHeight="false" outlineLevel="0" collapsed="false">
      <c r="B33" s="18" t="str">
        <f aca="false">IF(Responsáveis!$A$10="","",Responsáveis!A10)</f>
        <v/>
      </c>
      <c r="C33" s="23" t="str">
        <f aca="false">IF(Responsáveis!$A$10="","",Responsáveis!E10)</f>
        <v/>
      </c>
      <c r="D33" s="23" t="str">
        <f aca="false">IF(Responsáveis!$A$10="","",Responsáveis!F10)</f>
        <v/>
      </c>
      <c r="E33" s="23" t="str">
        <f aca="false">IF(Responsáveis!$A$10="","",Responsáveis!G10)</f>
        <v/>
      </c>
      <c r="F33" s="24" t="str">
        <f aca="false">IF(Responsáveis!$A$10="","",Responsáveis!H10)</f>
        <v/>
      </c>
    </row>
    <row r="34" customFormat="false" ht="15" hidden="false" customHeight="false" outlineLevel="0" collapsed="false">
      <c r="B34" s="18" t="str">
        <f aca="false">IF(Responsáveis!$A$11="","",Responsáveis!A11)</f>
        <v/>
      </c>
      <c r="C34" s="23" t="str">
        <f aca="false">IF(Responsáveis!$A$11="","",Responsáveis!E11)</f>
        <v/>
      </c>
      <c r="D34" s="23" t="str">
        <f aca="false">IF(Responsáveis!$A$11="","",Responsáveis!F11)</f>
        <v/>
      </c>
      <c r="E34" s="23" t="str">
        <f aca="false">IF(Responsáveis!$A$11="","",Responsáveis!G11)</f>
        <v/>
      </c>
      <c r="F34" s="24" t="str">
        <f aca="false">IF(Responsáveis!$A$11="","",Responsáveis!H11)</f>
        <v/>
      </c>
    </row>
    <row r="35" customFormat="false" ht="15" hidden="false" customHeight="false" outlineLevel="0" collapsed="false">
      <c r="B35" s="18" t="str">
        <f aca="false">IF(Responsáveis!$A$12="","",Responsáveis!A12)</f>
        <v/>
      </c>
      <c r="C35" s="23" t="str">
        <f aca="false">IF(Responsáveis!$A$12="","",Responsáveis!E12)</f>
        <v/>
      </c>
      <c r="D35" s="23" t="str">
        <f aca="false">IF(Responsáveis!$A$12="","",Responsáveis!F12)</f>
        <v/>
      </c>
      <c r="E35" s="23" t="str">
        <f aca="false">IF(Responsáveis!$A$12="","",Responsáveis!G12)</f>
        <v/>
      </c>
      <c r="F35" s="24" t="str">
        <f aca="false">IF(Responsáveis!$A$12="","",Responsáveis!H12)</f>
        <v/>
      </c>
    </row>
    <row r="36" customFormat="false" ht="15" hidden="false" customHeight="false" outlineLevel="0" collapsed="false">
      <c r="B36" s="18" t="str">
        <f aca="false">IF(Responsáveis!$A$13="","",Responsáveis!A13)</f>
        <v/>
      </c>
      <c r="C36" s="23" t="str">
        <f aca="false">IF(Responsáveis!$A$13="","",Responsáveis!E13)</f>
        <v/>
      </c>
      <c r="D36" s="23" t="str">
        <f aca="false">IF(Responsáveis!$A$13="","",Responsáveis!F13)</f>
        <v/>
      </c>
      <c r="E36" s="23" t="str">
        <f aca="false">IF(Responsáveis!$A$13="","",Responsáveis!G13)</f>
        <v/>
      </c>
      <c r="F36" s="24" t="str">
        <f aca="false">IF(Responsáveis!$A$13="","",Responsáveis!H13)</f>
        <v/>
      </c>
    </row>
    <row r="37" customFormat="false" ht="15" hidden="false" customHeight="false" outlineLevel="0" collapsed="false">
      <c r="B37" s="18" t="str">
        <f aca="false">IF(Responsáveis!$A$14="","",Responsáveis!A14)</f>
        <v/>
      </c>
      <c r="C37" s="23" t="str">
        <f aca="false">IF(Responsáveis!$A$14="","",Responsáveis!E14)</f>
        <v/>
      </c>
      <c r="D37" s="23" t="str">
        <f aca="false">IF(Responsáveis!$A$14="","",Responsáveis!F14)</f>
        <v/>
      </c>
      <c r="E37" s="23" t="str">
        <f aca="false">IF(Responsáveis!$A$14="","",Responsáveis!G14)</f>
        <v/>
      </c>
      <c r="F37" s="24" t="str">
        <f aca="false">IF(Responsáveis!$A$14="","",Responsáveis!H14)</f>
        <v/>
      </c>
    </row>
    <row r="55" customFormat="false" ht="15" hidden="false" customHeight="false" outlineLevel="0" collapsed="false">
      <c r="B55" s="22" t="s">
        <v>19</v>
      </c>
    </row>
    <row r="56" customFormat="false" ht="15" hidden="false" customHeight="false" outlineLevel="0" collapsed="false">
      <c r="B56" s="16" t="s">
        <v>9</v>
      </c>
      <c r="C56" s="16" t="s">
        <v>20</v>
      </c>
      <c r="D56" s="16" t="s">
        <v>21</v>
      </c>
      <c r="E56" s="16" t="s">
        <v>16</v>
      </c>
      <c r="F56" s="16" t="s">
        <v>17</v>
      </c>
      <c r="G56" s="16" t="s">
        <v>13</v>
      </c>
    </row>
    <row r="57" customFormat="false" ht="15" hidden="false" customHeight="false" outlineLevel="0" collapsed="false">
      <c r="B57" s="18" t="str">
        <f aca="false">IF(Artistas!$A$5="","",Artistas!A5)</f>
        <v>Luna Ribeiro</v>
      </c>
      <c r="C57" s="18" t="str">
        <f aca="false">IF(Artistas!$A$5="","",Artistas!C5)</f>
        <v>Elisa Rocha</v>
      </c>
      <c r="D57" s="19" t="n">
        <f aca="false">IF(Artistas!$A$5="","",Artistas!H5)</f>
        <v>46311</v>
      </c>
      <c r="E57" s="23" t="n">
        <f aca="false">IF(Artistas!$A$5="","",Artistas!I5)</f>
        <v>5</v>
      </c>
      <c r="F57" s="23" t="n">
        <f aca="false">IF(Artistas!$A$5="","",Artistas!J5)</f>
        <v>2</v>
      </c>
      <c r="G57" s="24" t="str">
        <f aca="false">IF(Artistas!$A$5="","",Artistas!K5)</f>
        <v>🔴 Cobrar equipe</v>
      </c>
    </row>
    <row r="58" customFormat="false" ht="15" hidden="false" customHeight="false" outlineLevel="0" collapsed="false">
      <c r="B58" s="18" t="str">
        <f aca="false">IF(Artistas!$A$6="","",Artistas!A6)</f>
        <v>MC Taveira</v>
      </c>
      <c r="C58" s="18" t="str">
        <f aca="false">IF(Artistas!$A$6="","",Artistas!C6)</f>
        <v>Elisa Rocha</v>
      </c>
      <c r="D58" s="19" t="n">
        <f aca="false">IF(Artistas!$A$6="","",Artistas!H6)</f>
        <v>46325</v>
      </c>
      <c r="E58" s="23" t="n">
        <f aca="false">IF(Artistas!$A$6="","",Artistas!I6)</f>
        <v>4</v>
      </c>
      <c r="F58" s="23" t="n">
        <f aca="false">IF(Artistas!$A$6="","",Artistas!J6)</f>
        <v>0</v>
      </c>
      <c r="G58" s="24" t="str">
        <f aca="false">IF(Artistas!$A$6="","",Artistas!K6)</f>
        <v>🟡 Em execução</v>
      </c>
    </row>
    <row r="59" customFormat="false" ht="15" hidden="false" customHeight="false" outlineLevel="0" collapsed="false">
      <c r="B59" s="18" t="str">
        <f aca="false">IF(Artistas!$A$7="","",Artistas!A7)</f>
        <v>Banda Aurora</v>
      </c>
      <c r="C59" s="18" t="str">
        <f aca="false">IF(Artistas!$A$7="","",Artistas!C7)</f>
        <v>Bruno Lima</v>
      </c>
      <c r="D59" s="19" t="str">
        <f aca="false">IF(Artistas!$A$7="","",Artistas!H7)</f>
        <v>—</v>
      </c>
      <c r="E59" s="23" t="n">
        <f aca="false">IF(Artistas!$A$7="","",Artistas!I7)</f>
        <v>1</v>
      </c>
      <c r="F59" s="23" t="n">
        <f aca="false">IF(Artistas!$A$7="","",Artistas!J7)</f>
        <v>0</v>
      </c>
      <c r="G59" s="24" t="str">
        <f aca="false">IF(Artistas!$A$7="","",Artistas!K7)</f>
        <v>🟡 Em execução</v>
      </c>
    </row>
    <row r="60" customFormat="false" ht="15" hidden="false" customHeight="false" outlineLevel="0" collapsed="false">
      <c r="B60" s="18" t="str">
        <f aca="false">IF(Artistas!$A$8="","",Artistas!A8)</f>
        <v/>
      </c>
      <c r="C60" s="18" t="str">
        <f aca="false">IF(Artistas!$A$8="","",Artistas!C8)</f>
        <v/>
      </c>
      <c r="D60" s="19" t="str">
        <f aca="false">IF(Artistas!$A$8="","",Artistas!H8)</f>
        <v/>
      </c>
      <c r="E60" s="23" t="str">
        <f aca="false">IF(Artistas!$A$8="","",Artistas!I8)</f>
        <v/>
      </c>
      <c r="F60" s="23" t="str">
        <f aca="false">IF(Artistas!$A$8="","",Artistas!J8)</f>
        <v/>
      </c>
      <c r="G60" s="24" t="str">
        <f aca="false">IF(Artistas!$A$8="","",Artistas!K8)</f>
        <v/>
      </c>
    </row>
    <row r="61" customFormat="false" ht="15" hidden="false" customHeight="false" outlineLevel="0" collapsed="false">
      <c r="B61" s="18" t="str">
        <f aca="false">IF(Artistas!$A$9="","",Artistas!A9)</f>
        <v/>
      </c>
      <c r="C61" s="18" t="str">
        <f aca="false">IF(Artistas!$A$9="","",Artistas!C9)</f>
        <v/>
      </c>
      <c r="D61" s="19" t="str">
        <f aca="false">IF(Artistas!$A$9="","",Artistas!H9)</f>
        <v/>
      </c>
      <c r="E61" s="23" t="str">
        <f aca="false">IF(Artistas!$A$9="","",Artistas!I9)</f>
        <v/>
      </c>
      <c r="F61" s="23" t="str">
        <f aca="false">IF(Artistas!$A$9="","",Artistas!J9)</f>
        <v/>
      </c>
      <c r="G61" s="24" t="str">
        <f aca="false">IF(Artistas!$A$9="","",Artistas!K9)</f>
        <v/>
      </c>
    </row>
    <row r="62" customFormat="false" ht="15" hidden="false" customHeight="false" outlineLevel="0" collapsed="false">
      <c r="B62" s="18" t="str">
        <f aca="false">IF(Artistas!$A$10="","",Artistas!A10)</f>
        <v/>
      </c>
      <c r="C62" s="18" t="str">
        <f aca="false">IF(Artistas!$A$10="","",Artistas!C10)</f>
        <v/>
      </c>
      <c r="D62" s="19" t="str">
        <f aca="false">IF(Artistas!$A$10="","",Artistas!H10)</f>
        <v/>
      </c>
      <c r="E62" s="23" t="str">
        <f aca="false">IF(Artistas!$A$10="","",Artistas!I10)</f>
        <v/>
      </c>
      <c r="F62" s="23" t="str">
        <f aca="false">IF(Artistas!$A$10="","",Artistas!J10)</f>
        <v/>
      </c>
      <c r="G62" s="24" t="str">
        <f aca="false">IF(Artistas!$A$10="","",Artistas!K10)</f>
        <v/>
      </c>
    </row>
    <row r="63" customFormat="false" ht="15" hidden="false" customHeight="false" outlineLevel="0" collapsed="false">
      <c r="B63" s="18" t="str">
        <f aca="false">IF(Artistas!$A$11="","",Artistas!A11)</f>
        <v/>
      </c>
      <c r="C63" s="18" t="str">
        <f aca="false">IF(Artistas!$A$11="","",Artistas!C11)</f>
        <v/>
      </c>
      <c r="D63" s="19" t="str">
        <f aca="false">IF(Artistas!$A$11="","",Artistas!H11)</f>
        <v/>
      </c>
      <c r="E63" s="23" t="str">
        <f aca="false">IF(Artistas!$A$11="","",Artistas!I11)</f>
        <v/>
      </c>
      <c r="F63" s="23" t="str">
        <f aca="false">IF(Artistas!$A$11="","",Artistas!J11)</f>
        <v/>
      </c>
      <c r="G63" s="24" t="str">
        <f aca="false">IF(Artistas!$A$11="","",Artistas!K11)</f>
        <v/>
      </c>
    </row>
    <row r="64" customFormat="false" ht="15" hidden="false" customHeight="false" outlineLevel="0" collapsed="false">
      <c r="B64" s="18" t="str">
        <f aca="false">IF(Artistas!$A$12="","",Artistas!A12)</f>
        <v/>
      </c>
      <c r="C64" s="18" t="str">
        <f aca="false">IF(Artistas!$A$12="","",Artistas!C12)</f>
        <v/>
      </c>
      <c r="D64" s="19" t="str">
        <f aca="false">IF(Artistas!$A$12="","",Artistas!H12)</f>
        <v/>
      </c>
      <c r="E64" s="23" t="str">
        <f aca="false">IF(Artistas!$A$12="","",Artistas!I12)</f>
        <v/>
      </c>
      <c r="F64" s="23" t="str">
        <f aca="false">IF(Artistas!$A$12="","",Artistas!J12)</f>
        <v/>
      </c>
      <c r="G64" s="24" t="str">
        <f aca="false">IF(Artistas!$A$12="","",Artistas!K12)</f>
        <v/>
      </c>
    </row>
    <row r="65" customFormat="false" ht="15" hidden="false" customHeight="false" outlineLevel="0" collapsed="false">
      <c r="B65" s="18" t="str">
        <f aca="false">IF(Artistas!$A$13="","",Artistas!A13)</f>
        <v/>
      </c>
      <c r="C65" s="18" t="str">
        <f aca="false">IF(Artistas!$A$13="","",Artistas!C13)</f>
        <v/>
      </c>
      <c r="D65" s="19" t="str">
        <f aca="false">IF(Artistas!$A$13="","",Artistas!H13)</f>
        <v/>
      </c>
      <c r="E65" s="23" t="str">
        <f aca="false">IF(Artistas!$A$13="","",Artistas!I13)</f>
        <v/>
      </c>
      <c r="F65" s="23" t="str">
        <f aca="false">IF(Artistas!$A$13="","",Artistas!J13)</f>
        <v/>
      </c>
      <c r="G65" s="24" t="str">
        <f aca="false">IF(Artistas!$A$13="","",Artistas!K13)</f>
        <v/>
      </c>
    </row>
    <row r="66" customFormat="false" ht="15" hidden="false" customHeight="false" outlineLevel="0" collapsed="false">
      <c r="B66" s="18" t="str">
        <f aca="false">IF(Artistas!$A$14="","",Artistas!A14)</f>
        <v/>
      </c>
      <c r="C66" s="18" t="str">
        <f aca="false">IF(Artistas!$A$14="","",Artistas!C14)</f>
        <v/>
      </c>
      <c r="D66" s="19" t="str">
        <f aca="false">IF(Artistas!$A$14="","",Artistas!H14)</f>
        <v/>
      </c>
      <c r="E66" s="23" t="str">
        <f aca="false">IF(Artistas!$A$14="","",Artistas!I14)</f>
        <v/>
      </c>
      <c r="F66" s="23" t="str">
        <f aca="false">IF(Artistas!$A$14="","",Artistas!J14)</f>
        <v/>
      </c>
      <c r="G66" s="24" t="str">
        <f aca="false">IF(Artistas!$A$14="","",Artistas!K14)</f>
        <v/>
      </c>
    </row>
    <row r="67" customFormat="false" ht="15" hidden="false" customHeight="false" outlineLevel="0" collapsed="false">
      <c r="B67" s="18" t="str">
        <f aca="false">IF(Artistas!$A$15="","",Artistas!A15)</f>
        <v/>
      </c>
      <c r="C67" s="18" t="str">
        <f aca="false">IF(Artistas!$A$15="","",Artistas!C15)</f>
        <v/>
      </c>
      <c r="D67" s="19" t="str">
        <f aca="false">IF(Artistas!$A$15="","",Artistas!H15)</f>
        <v/>
      </c>
      <c r="E67" s="23" t="str">
        <f aca="false">IF(Artistas!$A$15="","",Artistas!I15)</f>
        <v/>
      </c>
      <c r="F67" s="23" t="str">
        <f aca="false">IF(Artistas!$A$15="","",Artistas!J15)</f>
        <v/>
      </c>
      <c r="G67" s="24" t="str">
        <f aca="false">IF(Artistas!$A$15="","",Artistas!K15)</f>
        <v/>
      </c>
    </row>
    <row r="68" customFormat="false" ht="15" hidden="false" customHeight="false" outlineLevel="0" collapsed="false">
      <c r="B68" s="18" t="str">
        <f aca="false">IF(Artistas!$A$16="","",Artistas!A16)</f>
        <v/>
      </c>
      <c r="C68" s="18" t="str">
        <f aca="false">IF(Artistas!$A$16="","",Artistas!C16)</f>
        <v/>
      </c>
      <c r="D68" s="19" t="str">
        <f aca="false">IF(Artistas!$A$16="","",Artistas!H16)</f>
        <v/>
      </c>
      <c r="E68" s="23" t="str">
        <f aca="false">IF(Artistas!$A$16="","",Artistas!I16)</f>
        <v/>
      </c>
      <c r="F68" s="23" t="str">
        <f aca="false">IF(Artistas!$A$16="","",Artistas!J16)</f>
        <v/>
      </c>
      <c r="G68" s="24" t="str">
        <f aca="false">IF(Artistas!$A$16="","",Artistas!K16)</f>
        <v/>
      </c>
    </row>
    <row r="69" customFormat="false" ht="15" hidden="false" customHeight="false" outlineLevel="0" collapsed="false">
      <c r="B69" s="18" t="str">
        <f aca="false">IF(Artistas!$A$17="","",Artistas!A17)</f>
        <v/>
      </c>
      <c r="C69" s="18" t="str">
        <f aca="false">IF(Artistas!$A$17="","",Artistas!C17)</f>
        <v/>
      </c>
      <c r="D69" s="19" t="str">
        <f aca="false">IF(Artistas!$A$17="","",Artistas!H17)</f>
        <v/>
      </c>
      <c r="E69" s="23" t="str">
        <f aca="false">IF(Artistas!$A$17="","",Artistas!I17)</f>
        <v/>
      </c>
      <c r="F69" s="23" t="str">
        <f aca="false">IF(Artistas!$A$17="","",Artistas!J17)</f>
        <v/>
      </c>
      <c r="G69" s="24" t="str">
        <f aca="false">IF(Artistas!$A$17="","",Artistas!K17)</f>
        <v/>
      </c>
    </row>
    <row r="70" customFormat="false" ht="15" hidden="false" customHeight="false" outlineLevel="0" collapsed="false">
      <c r="B70" s="18" t="str">
        <f aca="false">IF(Artistas!$A$18="","",Artistas!A18)</f>
        <v/>
      </c>
      <c r="C70" s="18" t="str">
        <f aca="false">IF(Artistas!$A$18="","",Artistas!C18)</f>
        <v/>
      </c>
      <c r="D70" s="19" t="str">
        <f aca="false">IF(Artistas!$A$18="","",Artistas!H18)</f>
        <v/>
      </c>
      <c r="E70" s="23" t="str">
        <f aca="false">IF(Artistas!$A$18="","",Artistas!I18)</f>
        <v/>
      </c>
      <c r="F70" s="23" t="str">
        <f aca="false">IF(Artistas!$A$18="","",Artistas!J18)</f>
        <v/>
      </c>
      <c r="G70" s="24" t="str">
        <f aca="false">IF(Artistas!$A$18="","",Artistas!K18)</f>
        <v/>
      </c>
    </row>
    <row r="71" customFormat="false" ht="15" hidden="false" customHeight="false" outlineLevel="0" collapsed="false">
      <c r="B71" s="18" t="str">
        <f aca="false">IF(Artistas!$A$19="","",Artistas!A19)</f>
        <v/>
      </c>
      <c r="C71" s="18" t="str">
        <f aca="false">IF(Artistas!$A$19="","",Artistas!C19)</f>
        <v/>
      </c>
      <c r="D71" s="19" t="str">
        <f aca="false">IF(Artistas!$A$19="","",Artistas!H19)</f>
        <v/>
      </c>
      <c r="E71" s="23" t="str">
        <f aca="false">IF(Artistas!$A$19="","",Artistas!I19)</f>
        <v/>
      </c>
      <c r="F71" s="23" t="str">
        <f aca="false">IF(Artistas!$A$19="","",Artistas!J19)</f>
        <v/>
      </c>
      <c r="G71" s="24" t="str">
        <f aca="false">IF(Artistas!$A$19="","",Artistas!K19)</f>
        <v/>
      </c>
    </row>
    <row r="72" customFormat="false" ht="15" hidden="false" customHeight="false" outlineLevel="0" collapsed="false">
      <c r="B72" s="18" t="str">
        <f aca="false">IF(Artistas!$A$20="","",Artistas!A20)</f>
        <v/>
      </c>
      <c r="C72" s="18" t="str">
        <f aca="false">IF(Artistas!$A$20="","",Artistas!C20)</f>
        <v/>
      </c>
      <c r="D72" s="19" t="str">
        <f aca="false">IF(Artistas!$A$20="","",Artistas!H20)</f>
        <v/>
      </c>
      <c r="E72" s="23" t="str">
        <f aca="false">IF(Artistas!$A$20="","",Artistas!I20)</f>
        <v/>
      </c>
      <c r="F72" s="23" t="str">
        <f aca="false">IF(Artistas!$A$20="","",Artistas!J20)</f>
        <v/>
      </c>
      <c r="G72" s="24" t="str">
        <f aca="false">IF(Artistas!$A$20="","",Artistas!K20)</f>
        <v/>
      </c>
    </row>
    <row r="73" customFormat="false" ht="15" hidden="false" customHeight="false" outlineLevel="0" collapsed="false">
      <c r="B73" s="18" t="str">
        <f aca="false">IF(Artistas!$A$21="","",Artistas!A21)</f>
        <v/>
      </c>
      <c r="C73" s="18" t="str">
        <f aca="false">IF(Artistas!$A$21="","",Artistas!C21)</f>
        <v/>
      </c>
      <c r="D73" s="19" t="str">
        <f aca="false">IF(Artistas!$A$21="","",Artistas!H21)</f>
        <v/>
      </c>
      <c r="E73" s="23" t="str">
        <f aca="false">IF(Artistas!$A$21="","",Artistas!I21)</f>
        <v/>
      </c>
      <c r="F73" s="23" t="str">
        <f aca="false">IF(Artistas!$A$21="","",Artistas!J21)</f>
        <v/>
      </c>
      <c r="G73" s="24" t="str">
        <f aca="false">IF(Artistas!$A$21="","",Artistas!K21)</f>
        <v/>
      </c>
    </row>
    <row r="74" customFormat="false" ht="15" hidden="false" customHeight="false" outlineLevel="0" collapsed="false">
      <c r="B74" s="18" t="str">
        <f aca="false">IF(Artistas!$A$22="","",Artistas!A22)</f>
        <v/>
      </c>
      <c r="C74" s="18" t="str">
        <f aca="false">IF(Artistas!$A$22="","",Artistas!C22)</f>
        <v/>
      </c>
      <c r="D74" s="19" t="str">
        <f aca="false">IF(Artistas!$A$22="","",Artistas!H22)</f>
        <v/>
      </c>
      <c r="E74" s="23" t="str">
        <f aca="false">IF(Artistas!$A$22="","",Artistas!I22)</f>
        <v/>
      </c>
      <c r="F74" s="23" t="str">
        <f aca="false">IF(Artistas!$A$22="","",Artistas!J22)</f>
        <v/>
      </c>
      <c r="G74" s="24" t="str">
        <f aca="false">IF(Artistas!$A$22="","",Artistas!K22)</f>
        <v/>
      </c>
    </row>
    <row r="75" customFormat="false" ht="15" hidden="false" customHeight="false" outlineLevel="0" collapsed="false">
      <c r="B75" s="18" t="str">
        <f aca="false">IF(Artistas!$A$23="","",Artistas!A23)</f>
        <v/>
      </c>
      <c r="C75" s="18" t="str">
        <f aca="false">IF(Artistas!$A$23="","",Artistas!C23)</f>
        <v/>
      </c>
      <c r="D75" s="19" t="str">
        <f aca="false">IF(Artistas!$A$23="","",Artistas!H23)</f>
        <v/>
      </c>
      <c r="E75" s="23" t="str">
        <f aca="false">IF(Artistas!$A$23="","",Artistas!I23)</f>
        <v/>
      </c>
      <c r="F75" s="23" t="str">
        <f aca="false">IF(Artistas!$A$23="","",Artistas!J23)</f>
        <v/>
      </c>
      <c r="G75" s="24" t="str">
        <f aca="false">IF(Artistas!$A$23="","",Artistas!K23)</f>
        <v/>
      </c>
    </row>
    <row r="76" customFormat="false" ht="15" hidden="false" customHeight="false" outlineLevel="0" collapsed="false">
      <c r="B76" s="18" t="str">
        <f aca="false">IF(Artistas!$A$24="","",Artistas!A24)</f>
        <v/>
      </c>
      <c r="C76" s="18" t="str">
        <f aca="false">IF(Artistas!$A$24="","",Artistas!C24)</f>
        <v/>
      </c>
      <c r="D76" s="19" t="str">
        <f aca="false">IF(Artistas!$A$24="","",Artistas!H24)</f>
        <v/>
      </c>
      <c r="E76" s="23" t="str">
        <f aca="false">IF(Artistas!$A$24="","",Artistas!I24)</f>
        <v/>
      </c>
      <c r="F76" s="23" t="str">
        <f aca="false">IF(Artistas!$A$24="","",Artistas!J24)</f>
        <v/>
      </c>
      <c r="G76" s="24" t="str">
        <f aca="false">IF(Artistas!$A$24="","",Artistas!K24)</f>
        <v/>
      </c>
    </row>
    <row r="77" customFormat="false" ht="15" hidden="false" customHeight="false" outlineLevel="0" collapsed="false">
      <c r="B77" s="18" t="str">
        <f aca="false">IF(Artistas!$A$25="","",Artistas!A25)</f>
        <v/>
      </c>
      <c r="C77" s="18" t="str">
        <f aca="false">IF(Artistas!$A$25="","",Artistas!C25)</f>
        <v/>
      </c>
      <c r="D77" s="19" t="str">
        <f aca="false">IF(Artistas!$A$25="","",Artistas!H25)</f>
        <v/>
      </c>
      <c r="E77" s="23" t="str">
        <f aca="false">IF(Artistas!$A$25="","",Artistas!I25)</f>
        <v/>
      </c>
      <c r="F77" s="23" t="str">
        <f aca="false">IF(Artistas!$A$25="","",Artistas!J25)</f>
        <v/>
      </c>
      <c r="G77" s="24" t="str">
        <f aca="false">IF(Artistas!$A$25="","",Artistas!K25)</f>
        <v/>
      </c>
    </row>
    <row r="78" customFormat="false" ht="15" hidden="false" customHeight="false" outlineLevel="0" collapsed="false">
      <c r="B78" s="18" t="str">
        <f aca="false">IF(Artistas!$A$26="","",Artistas!A26)</f>
        <v/>
      </c>
      <c r="C78" s="18" t="str">
        <f aca="false">IF(Artistas!$A$26="","",Artistas!C26)</f>
        <v/>
      </c>
      <c r="D78" s="19" t="str">
        <f aca="false">IF(Artistas!$A$26="","",Artistas!H26)</f>
        <v/>
      </c>
      <c r="E78" s="23" t="str">
        <f aca="false">IF(Artistas!$A$26="","",Artistas!I26)</f>
        <v/>
      </c>
      <c r="F78" s="23" t="str">
        <f aca="false">IF(Artistas!$A$26="","",Artistas!J26)</f>
        <v/>
      </c>
      <c r="G78" s="24" t="str">
        <f aca="false">IF(Artistas!$A$26="","",Artistas!K26)</f>
        <v/>
      </c>
    </row>
    <row r="79" customFormat="false" ht="15" hidden="false" customHeight="false" outlineLevel="0" collapsed="false">
      <c r="B79" s="18" t="str">
        <f aca="false">IF(Artistas!$A$27="","",Artistas!A27)</f>
        <v/>
      </c>
      <c r="C79" s="18" t="str">
        <f aca="false">IF(Artistas!$A$27="","",Artistas!C27)</f>
        <v/>
      </c>
      <c r="D79" s="19" t="str">
        <f aca="false">IF(Artistas!$A$27="","",Artistas!H27)</f>
        <v/>
      </c>
      <c r="E79" s="23" t="str">
        <f aca="false">IF(Artistas!$A$27="","",Artistas!I27)</f>
        <v/>
      </c>
      <c r="F79" s="23" t="str">
        <f aca="false">IF(Artistas!$A$27="","",Artistas!J27)</f>
        <v/>
      </c>
      <c r="G79" s="24" t="str">
        <f aca="false">IF(Artistas!$A$27="","",Artistas!K27)</f>
        <v/>
      </c>
    </row>
    <row r="80" customFormat="false" ht="15" hidden="false" customHeight="false" outlineLevel="0" collapsed="false">
      <c r="B80" s="18" t="str">
        <f aca="false">IF(Artistas!$A$28="","",Artistas!A28)</f>
        <v/>
      </c>
      <c r="C80" s="18" t="str">
        <f aca="false">IF(Artistas!$A$28="","",Artistas!C28)</f>
        <v/>
      </c>
      <c r="D80" s="19" t="str">
        <f aca="false">IF(Artistas!$A$28="","",Artistas!H28)</f>
        <v/>
      </c>
      <c r="E80" s="23" t="str">
        <f aca="false">IF(Artistas!$A$28="","",Artistas!I28)</f>
        <v/>
      </c>
      <c r="F80" s="23" t="str">
        <f aca="false">IF(Artistas!$A$28="","",Artistas!J28)</f>
        <v/>
      </c>
      <c r="G80" s="24" t="str">
        <f aca="false">IF(Artistas!$A$28="","",Artistas!K28)</f>
        <v/>
      </c>
    </row>
    <row r="81" customFormat="false" ht="15" hidden="false" customHeight="false" outlineLevel="0" collapsed="false">
      <c r="B81" s="18" t="str">
        <f aca="false">IF(Artistas!$A$29="","",Artistas!A29)</f>
        <v/>
      </c>
      <c r="C81" s="18" t="str">
        <f aca="false">IF(Artistas!$A$29="","",Artistas!C29)</f>
        <v/>
      </c>
      <c r="D81" s="19" t="str">
        <f aca="false">IF(Artistas!$A$29="","",Artistas!H29)</f>
        <v/>
      </c>
      <c r="E81" s="23" t="str">
        <f aca="false">IF(Artistas!$A$29="","",Artistas!I29)</f>
        <v/>
      </c>
      <c r="F81" s="23" t="str">
        <f aca="false">IF(Artistas!$A$29="","",Artistas!J29)</f>
        <v/>
      </c>
      <c r="G81" s="24" t="str">
        <f aca="false">IF(Artistas!$A$29="","",Artistas!K29)</f>
        <v/>
      </c>
    </row>
    <row r="82" customFormat="false" ht="15" hidden="false" customHeight="false" outlineLevel="0" collapsed="false">
      <c r="B82" s="18" t="str">
        <f aca="false">IF(Artistas!$A$30="","",Artistas!A30)</f>
        <v/>
      </c>
      <c r="C82" s="18" t="str">
        <f aca="false">IF(Artistas!$A$30="","",Artistas!C30)</f>
        <v/>
      </c>
      <c r="D82" s="19" t="str">
        <f aca="false">IF(Artistas!$A$30="","",Artistas!H30)</f>
        <v/>
      </c>
      <c r="E82" s="23" t="str">
        <f aca="false">IF(Artistas!$A$30="","",Artistas!I30)</f>
        <v/>
      </c>
      <c r="F82" s="23" t="str">
        <f aca="false">IF(Artistas!$A$30="","",Artistas!J30)</f>
        <v/>
      </c>
      <c r="G82" s="24" t="str">
        <f aca="false">IF(Artistas!$A$30="","",Artistas!K30)</f>
        <v/>
      </c>
    </row>
    <row r="83" customFormat="false" ht="15" hidden="false" customHeight="false" outlineLevel="0" collapsed="false">
      <c r="B83" s="18" t="str">
        <f aca="false">IF(Artistas!$A$31="","",Artistas!A31)</f>
        <v/>
      </c>
      <c r="C83" s="18" t="str">
        <f aca="false">IF(Artistas!$A$31="","",Artistas!C31)</f>
        <v/>
      </c>
      <c r="D83" s="19" t="str">
        <f aca="false">IF(Artistas!$A$31="","",Artistas!H31)</f>
        <v/>
      </c>
      <c r="E83" s="23" t="str">
        <f aca="false">IF(Artistas!$A$31="","",Artistas!I31)</f>
        <v/>
      </c>
      <c r="F83" s="23" t="str">
        <f aca="false">IF(Artistas!$A$31="","",Artistas!J31)</f>
        <v/>
      </c>
      <c r="G83" s="24" t="str">
        <f aca="false">IF(Artistas!$A$31="","",Artistas!K31)</f>
        <v/>
      </c>
    </row>
    <row r="84" customFormat="false" ht="15" hidden="false" customHeight="false" outlineLevel="0" collapsed="false">
      <c r="B84" s="18" t="str">
        <f aca="false">IF(Artistas!$A$32="","",Artistas!A32)</f>
        <v/>
      </c>
      <c r="C84" s="18" t="str">
        <f aca="false">IF(Artistas!$A$32="","",Artistas!C32)</f>
        <v/>
      </c>
      <c r="D84" s="19" t="str">
        <f aca="false">IF(Artistas!$A$32="","",Artistas!H32)</f>
        <v/>
      </c>
      <c r="E84" s="23" t="str">
        <f aca="false">IF(Artistas!$A$32="","",Artistas!I32)</f>
        <v/>
      </c>
      <c r="F84" s="23" t="str">
        <f aca="false">IF(Artistas!$A$32="","",Artistas!J32)</f>
        <v/>
      </c>
      <c r="G84" s="24" t="str">
        <f aca="false">IF(Artistas!$A$32="","",Artistas!K32)</f>
        <v/>
      </c>
    </row>
    <row r="85" customFormat="false" ht="15" hidden="false" customHeight="false" outlineLevel="0" collapsed="false">
      <c r="B85" s="18" t="str">
        <f aca="false">IF(Artistas!$A$33="","",Artistas!A33)</f>
        <v/>
      </c>
      <c r="C85" s="18" t="str">
        <f aca="false">IF(Artistas!$A$33="","",Artistas!C33)</f>
        <v/>
      </c>
      <c r="D85" s="19" t="str">
        <f aca="false">IF(Artistas!$A$33="","",Artistas!H33)</f>
        <v/>
      </c>
      <c r="E85" s="23" t="str">
        <f aca="false">IF(Artistas!$A$33="","",Artistas!I33)</f>
        <v/>
      </c>
      <c r="F85" s="23" t="str">
        <f aca="false">IF(Artistas!$A$33="","",Artistas!J33)</f>
        <v/>
      </c>
      <c r="G85" s="24" t="str">
        <f aca="false">IF(Artistas!$A$33="","",Artistas!K33)</f>
        <v/>
      </c>
    </row>
    <row r="86" customFormat="false" ht="15" hidden="false" customHeight="false" outlineLevel="0" collapsed="false">
      <c r="B86" s="18" t="str">
        <f aca="false">IF(Artistas!$A$34="","",Artistas!A34)</f>
        <v/>
      </c>
      <c r="C86" s="18" t="str">
        <f aca="false">IF(Artistas!$A$34="","",Artistas!C34)</f>
        <v/>
      </c>
      <c r="D86" s="19" t="str">
        <f aca="false">IF(Artistas!$A$34="","",Artistas!H34)</f>
        <v/>
      </c>
      <c r="E86" s="23" t="str">
        <f aca="false">IF(Artistas!$A$34="","",Artistas!I34)</f>
        <v/>
      </c>
      <c r="F86" s="23" t="str">
        <f aca="false">IF(Artistas!$A$34="","",Artistas!J34)</f>
        <v/>
      </c>
      <c r="G86" s="24" t="str">
        <f aca="false">IF(Artistas!$A$34="","",Artistas!K34)</f>
        <v/>
      </c>
    </row>
  </sheetData>
  <conditionalFormatting sqref="B9:G23">
    <cfRule type="expression" priority="2" aboveAverage="0" equalAverage="0" bottom="0" percent="0" rank="0" text="" dxfId="0">
      <formula>ISNUMBER(SEARCH("COBRAR",$G9))</formula>
    </cfRule>
    <cfRule type="expression" priority="3" aboveAverage="0" equalAverage="0" bottom="0" percent="0" rank="0" text="" dxfId="1">
      <formula>ISNUMBER(SEARCH("Vence",$G9))</formula>
    </cfRule>
  </conditionalFormatting>
  <conditionalFormatting sqref="D28:D37">
    <cfRule type="dataBar" priority="4">
      <dataBar showValue="1" minLength="10" maxLength="90">
        <cfvo type="num" val="0"/>
        <cfvo type="max" val="0"/>
        <color rgb="FFE06666"/>
      </dataBar>
      <extLst>
        <ext xmlns:x14="http://schemas.microsoft.com/office/spreadsheetml/2009/9/main" uri="{B025F937-C7B1-47D3-B67F-A62EFF666E3E}">
          <x14:id>{ED545B5F-D6C0-41EB-9796-F1893FD3DDDA}</x14:id>
        </ext>
      </extLst>
    </cfRule>
  </conditionalFormatting>
  <conditionalFormatting sqref="F28:F37">
    <cfRule type="expression" priority="5" aboveAverage="0" equalAverage="0" bottom="0" percent="0" rank="0" text="" dxfId="2">
      <formula>ISNUMBER(SEARCH("COBRAR",F28))</formula>
    </cfRule>
    <cfRule type="expression" priority="6" aboveAverage="0" equalAverage="0" bottom="0" percent="0" rank="0" text="" dxfId="3">
      <formula>ISNUMBER(SEARCH("Lembrar",F28))</formula>
    </cfRule>
    <cfRule type="expression" priority="7" aboveAverage="0" equalAverage="0" bottom="0" percent="0" rank="0" text="" dxfId="4">
      <formula>ISNUMBER(SEARCH("Em dia",F28))</formula>
    </cfRule>
  </conditionalFormatting>
  <conditionalFormatting sqref="G57:G86">
    <cfRule type="expression" priority="8" aboveAverage="0" equalAverage="0" bottom="0" percent="0" rank="0" text="" dxfId="2">
      <formula>ISNUMBER(SEARCH("Cobrar",G57))</formula>
    </cfRule>
    <cfRule type="expression" priority="9" aboveAverage="0" equalAverage="0" bottom="0" percent="0" rank="0" text="" dxfId="3">
      <formula>ISNUMBER(SEARCH("execução",G57))</formula>
    </cfRule>
    <cfRule type="expression" priority="10" aboveAverage="0" equalAverage="0" bottom="0" percent="0" rank="0" text="" dxfId="4">
      <formula>ISNUMBER(SEARCH("Em dia",G57))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545B5F-D6C0-41EB-9796-F1893FD3DDDA}">
            <x14:dataBar minLength="10" maxLength="90" axisPosition="none" gradient="true">
              <x14:cfvo type="num">
                <xm:f>0</xm:f>
              </x14:cfvo>
              <x14:cfvo type="max"/>
              <x14:negativeFillColor rgb="FFE06666"/>
              <x14:axisColor rgb="FF000000"/>
            </x14:dataBar>
          </x14:cfRule>
          <xm:sqref>D28:D37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A86"/>
    <pageSetUpPr fitToPage="false"/>
  </sheetPr>
  <dimension ref="A1:L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36"/>
    <col collapsed="false" customWidth="true" hidden="true" outlineLevel="0" max="12" min="12" style="0" width="6"/>
  </cols>
  <sheetData>
    <row r="1" customFormat="false" ht="31.5" hidden="false" customHeight="true" outlineLevel="0" collapsed="false">
      <c r="A1" s="25" t="s">
        <v>9</v>
      </c>
      <c r="B1" s="25" t="s">
        <v>22</v>
      </c>
      <c r="C1" s="25" t="s">
        <v>23</v>
      </c>
      <c r="D1" s="25" t="s">
        <v>10</v>
      </c>
      <c r="E1" s="25" t="s">
        <v>8</v>
      </c>
      <c r="F1" s="25" t="s">
        <v>24</v>
      </c>
      <c r="G1" s="25" t="s">
        <v>25</v>
      </c>
      <c r="H1" s="25" t="s">
        <v>26</v>
      </c>
      <c r="I1" s="25" t="s">
        <v>27</v>
      </c>
      <c r="J1" s="25" t="s">
        <v>28</v>
      </c>
      <c r="K1" s="25" t="s">
        <v>29</v>
      </c>
      <c r="L1" s="25" t="s">
        <v>30</v>
      </c>
    </row>
    <row r="2" customFormat="false" ht="15" hidden="false" customHeight="false" outlineLevel="0" collapsed="false">
      <c r="A2" s="26" t="s">
        <v>31</v>
      </c>
      <c r="B2" s="26" t="s">
        <v>32</v>
      </c>
      <c r="C2" s="27" t="n">
        <v>46311</v>
      </c>
      <c r="D2" s="26" t="s">
        <v>33</v>
      </c>
      <c r="E2" s="26" t="s">
        <v>34</v>
      </c>
      <c r="F2" s="28" t="n">
        <f aca="false">IF(OR(C2="",D2=""),"",IFERROR(C2-INDEX(Listas!$B$5:$B$30,MATCH(D2,Listas!$A$5:$A$30,0)),""))</f>
        <v>46281</v>
      </c>
      <c r="G2" s="26" t="s">
        <v>35</v>
      </c>
      <c r="H2" s="29" t="str">
        <f aca="true">IF(OR(A2="",F2="",G2="Concluído"),"",F2-TODAY())</f>
        <v/>
      </c>
      <c r="I2" s="30" t="str">
        <f aca="false">IF(A2="","",IF(G2="Concluído","✅ Concluído",IF(F2="","⚪ Sem prazo",IF(H2&lt;0,"🔴 COBRAR · "&amp;-H2&amp;" dia(s) atrasado",IF(H2=0,"🟠 Vence HOJE",IF(H2&lt;=3,"🟠 Vence em "&amp;H2&amp;" dia(s)","🟢 No prazo"))))))</f>
        <v>✅ Concluído</v>
      </c>
      <c r="J2" s="27"/>
      <c r="K2" s="26"/>
      <c r="L2" s="30" t="str">
        <f aca="true">IF(OR(A2="",G2="Concluído",F2=""),"",IF(F2&lt;=TODAY()+3,F2+ROW()/1000000,""))</f>
        <v/>
      </c>
    </row>
    <row r="3" customFormat="false" ht="15" hidden="false" customHeight="false" outlineLevel="0" collapsed="false">
      <c r="A3" s="26" t="s">
        <v>31</v>
      </c>
      <c r="B3" s="26" t="s">
        <v>32</v>
      </c>
      <c r="C3" s="27" t="n">
        <v>46311</v>
      </c>
      <c r="D3" s="26" t="s">
        <v>36</v>
      </c>
      <c r="E3" s="26" t="s">
        <v>37</v>
      </c>
      <c r="F3" s="28" t="n">
        <f aca="false">IF(OR(C3="",D3=""),"",IFERROR(C3-INDEX(Listas!$B$5:$B$30,MATCH(D3,Listas!$A$5:$A$30,0)),""))</f>
        <v>46290</v>
      </c>
      <c r="G3" s="26" t="s">
        <v>35</v>
      </c>
      <c r="H3" s="29" t="str">
        <f aca="true">IF(OR(A3="",F3="",G3="Concluído"),"",F3-TODAY())</f>
        <v/>
      </c>
      <c r="I3" s="30" t="str">
        <f aca="false">IF(A3="","",IF(G3="Concluído","✅ Concluído",IF(F3="","⚪ Sem prazo",IF(H3&lt;0,"🔴 COBRAR · "&amp;-H3&amp;" dia(s) atrasado",IF(H3=0,"🟠 Vence HOJE",IF(H3&lt;=3,"🟠 Vence em "&amp;H3&amp;" dia(s)","🟢 No prazo"))))))</f>
        <v>✅ Concluído</v>
      </c>
      <c r="J3" s="27"/>
      <c r="K3" s="26"/>
      <c r="L3" s="30" t="str">
        <f aca="true">IF(OR(A3="",G3="Concluído",F3=""),"",IF(F3&lt;=TODAY()+3,F3+ROW()/1000000,""))</f>
        <v/>
      </c>
    </row>
    <row r="4" customFormat="false" ht="15" hidden="false" customHeight="false" outlineLevel="0" collapsed="false">
      <c r="A4" s="26" t="s">
        <v>31</v>
      </c>
      <c r="B4" s="26" t="s">
        <v>32</v>
      </c>
      <c r="C4" s="27" t="n">
        <v>46311</v>
      </c>
      <c r="D4" s="26" t="s">
        <v>38</v>
      </c>
      <c r="E4" s="26" t="s">
        <v>39</v>
      </c>
      <c r="F4" s="28" t="n">
        <f aca="false">IF(OR(C4="",D4=""),"",IFERROR(C4-INDEX(Listas!$B$5:$B$30,MATCH(D4,Listas!$A$5:$A$30,0)),""))</f>
        <v>46297</v>
      </c>
      <c r="G4" s="26" t="s">
        <v>35</v>
      </c>
      <c r="H4" s="29" t="str">
        <f aca="true">IF(OR(A4="",F4="",G4="Concluído"),"",F4-TODAY())</f>
        <v/>
      </c>
      <c r="I4" s="30" t="str">
        <f aca="false">IF(A4="","",IF(G4="Concluído","✅ Concluído",IF(F4="","⚪ Sem prazo",IF(H4&lt;0,"🔴 COBRAR · "&amp;-H4&amp;" dia(s) atrasado",IF(H4=0,"🟠 Vence HOJE",IF(H4&lt;=3,"🟠 Vence em "&amp;H4&amp;" dia(s)","🟢 No prazo"))))))</f>
        <v>✅ Concluído</v>
      </c>
      <c r="J4" s="27"/>
      <c r="K4" s="26"/>
      <c r="L4" s="30" t="str">
        <f aca="true">IF(OR(A4="",G4="Concluído",F4=""),"",IF(F4&lt;=TODAY()+3,F4+ROW()/1000000,""))</f>
        <v/>
      </c>
    </row>
    <row r="5" customFormat="false" ht="15" hidden="false" customHeight="false" outlineLevel="0" collapsed="false">
      <c r="A5" s="26" t="s">
        <v>31</v>
      </c>
      <c r="B5" s="26" t="s">
        <v>32</v>
      </c>
      <c r="C5" s="27" t="n">
        <v>46311</v>
      </c>
      <c r="D5" s="26" t="s">
        <v>40</v>
      </c>
      <c r="E5" s="26" t="s">
        <v>39</v>
      </c>
      <c r="F5" s="28" t="n">
        <f aca="false">IF(OR(C5="",D5=""),"",IFERROR(C5-INDEX(Listas!$B$5:$B$30,MATCH(D5,Listas!$A$5:$A$30,0)),""))</f>
        <v>46301</v>
      </c>
      <c r="G5" s="26" t="s">
        <v>41</v>
      </c>
      <c r="H5" s="29" t="n">
        <f aca="true">IF(OR(A5="",F5="",G5="Concluído"),"",F5-TODAY())</f>
        <v>-3</v>
      </c>
      <c r="I5" s="30" t="str">
        <f aca="false">IF(A5="","",IF(G5="Concluído","✅ Concluído",IF(F5="","⚪ Sem prazo",IF(H5&lt;0,"🔴 COBRAR · "&amp;-H5&amp;" dia(s) atrasado",IF(H5=0,"🟠 Vence HOJE",IF(H5&lt;=3,"🟠 Vence em "&amp;H5&amp;" dia(s)","🟢 No prazo"))))))</f>
        <v>🔴 COBRAR · 3 dia(s) atrasado</v>
      </c>
      <c r="J5" s="27" t="n">
        <v>46303</v>
      </c>
      <c r="K5" s="26" t="s">
        <v>42</v>
      </c>
      <c r="L5" s="31" t="n">
        <f aca="true">IF(OR(A5="",G5="Concluído",F5=""),"",IF(F5&lt;=TODAY()+3,F5+ROW()/1000000,""))</f>
        <v>46301.000005</v>
      </c>
    </row>
    <row r="6" customFormat="false" ht="15" hidden="false" customHeight="false" outlineLevel="0" collapsed="false">
      <c r="A6" s="26" t="s">
        <v>31</v>
      </c>
      <c r="B6" s="26" t="s">
        <v>32</v>
      </c>
      <c r="C6" s="27" t="n">
        <v>46311</v>
      </c>
      <c r="D6" s="26" t="s">
        <v>43</v>
      </c>
      <c r="E6" s="26" t="s">
        <v>44</v>
      </c>
      <c r="F6" s="28" t="n">
        <f aca="false">IF(OR(C6="",D6=""),"",IFERROR(C6-INDEX(Listas!$B$5:$B$30,MATCH(D6,Listas!$A$5:$A$30,0)),""))</f>
        <v>46301</v>
      </c>
      <c r="G6" s="26" t="s">
        <v>45</v>
      </c>
      <c r="H6" s="29" t="n">
        <f aca="true">IF(OR(A6="",F6="",G6="Concluído"),"",F6-TODAY())</f>
        <v>-3</v>
      </c>
      <c r="I6" s="30" t="str">
        <f aca="false">IF(A6="","",IF(G6="Concluído","✅ Concluído",IF(F6="","⚪ Sem prazo",IF(H6&lt;0,"🔴 COBRAR · "&amp;-H6&amp;" dia(s) atrasado",IF(H6=0,"🟠 Vence HOJE",IF(H6&lt;=3,"🟠 Vence em "&amp;H6&amp;" dia(s)","🟢 No prazo"))))))</f>
        <v>🔴 COBRAR · 3 dia(s) atrasado</v>
      </c>
      <c r="J6" s="27"/>
      <c r="K6" s="26"/>
      <c r="L6" s="31" t="n">
        <f aca="true">IF(OR(A6="",G6="Concluído",F6=""),"",IF(F6&lt;=TODAY()+3,F6+ROW()/1000000,""))</f>
        <v>46301.000006</v>
      </c>
    </row>
    <row r="7" customFormat="false" ht="15" hidden="false" customHeight="false" outlineLevel="0" collapsed="false">
      <c r="A7" s="26" t="s">
        <v>31</v>
      </c>
      <c r="B7" s="26" t="s">
        <v>32</v>
      </c>
      <c r="C7" s="27" t="n">
        <v>46311</v>
      </c>
      <c r="D7" s="26" t="s">
        <v>46</v>
      </c>
      <c r="E7" s="26" t="s">
        <v>34</v>
      </c>
      <c r="F7" s="28" t="n">
        <f aca="false">IF(OR(C7="",D7=""),"",IFERROR(C7-INDEX(Listas!$B$5:$B$30,MATCH(D7,Listas!$A$5:$A$30,0)),""))</f>
        <v>46304</v>
      </c>
      <c r="G7" s="26" t="s">
        <v>41</v>
      </c>
      <c r="H7" s="29" t="n">
        <f aca="true">IF(OR(A7="",F7="",G7="Concluído"),"",F7-TODAY())</f>
        <v>0</v>
      </c>
      <c r="I7" s="30" t="str">
        <f aca="false">IF(A7="","",IF(G7="Concluído","✅ Concluído",IF(F7="","⚪ Sem prazo",IF(H7&lt;0,"🔴 COBRAR · "&amp;-H7&amp;" dia(s) atrasado",IF(H7=0,"🟠 Vence HOJE",IF(H7&lt;=3,"🟠 Vence em "&amp;H7&amp;" dia(s)","🟢 No prazo"))))))</f>
        <v>🟠 Vence HOJE</v>
      </c>
      <c r="J7" s="27"/>
      <c r="K7" s="26"/>
      <c r="L7" s="31" t="n">
        <f aca="true">IF(OR(A7="",G7="Concluído",F7=""),"",IF(F7&lt;=TODAY()+3,F7+ROW()/1000000,""))</f>
        <v>46304.000007</v>
      </c>
    </row>
    <row r="8" customFormat="false" ht="15" hidden="false" customHeight="false" outlineLevel="0" collapsed="false">
      <c r="A8" s="26" t="s">
        <v>31</v>
      </c>
      <c r="B8" s="26" t="s">
        <v>32</v>
      </c>
      <c r="C8" s="27" t="n">
        <v>46311</v>
      </c>
      <c r="D8" s="26" t="s">
        <v>47</v>
      </c>
      <c r="E8" s="26" t="s">
        <v>44</v>
      </c>
      <c r="F8" s="28" t="n">
        <f aca="false">IF(OR(C8="",D8=""),"",IFERROR(C8-INDEX(Listas!$B$5:$B$30,MATCH(D8,Listas!$A$5:$A$30,0)),""))</f>
        <v>46304</v>
      </c>
      <c r="G8" s="26" t="s">
        <v>48</v>
      </c>
      <c r="H8" s="29" t="n">
        <f aca="true">IF(OR(A8="",F8="",G8="Concluído"),"",F8-TODAY())</f>
        <v>0</v>
      </c>
      <c r="I8" s="30" t="str">
        <f aca="false">IF(A8="","",IF(G8="Concluído","✅ Concluído",IF(F8="","⚪ Sem prazo",IF(H8&lt;0,"🔴 COBRAR · "&amp;-H8&amp;" dia(s) atrasado",IF(H8=0,"🟠 Vence HOJE",IF(H8&lt;=3,"🟠 Vence em "&amp;H8&amp;" dia(s)","🟢 No prazo"))))))</f>
        <v>🟠 Vence HOJE</v>
      </c>
      <c r="J8" s="27"/>
      <c r="K8" s="26" t="s">
        <v>49</v>
      </c>
      <c r="L8" s="31" t="n">
        <f aca="true">IF(OR(A8="",G8="Concluído",F8=""),"",IF(F8&lt;=TODAY()+3,F8+ROW()/1000000,""))</f>
        <v>46304.000008</v>
      </c>
    </row>
    <row r="9" customFormat="false" ht="15" hidden="false" customHeight="false" outlineLevel="0" collapsed="false">
      <c r="A9" s="26" t="s">
        <v>31</v>
      </c>
      <c r="B9" s="26" t="s">
        <v>32</v>
      </c>
      <c r="C9" s="27" t="n">
        <v>46311</v>
      </c>
      <c r="D9" s="26" t="s">
        <v>50</v>
      </c>
      <c r="E9" s="26" t="s">
        <v>51</v>
      </c>
      <c r="F9" s="28" t="n">
        <f aca="false">IF(OR(C9="",D9=""),"",IFERROR(C9-INDEX(Listas!$B$5:$B$30,MATCH(D9,Listas!$A$5:$A$30,0)),""))</f>
        <v>46311</v>
      </c>
      <c r="G9" s="26" t="s">
        <v>45</v>
      </c>
      <c r="H9" s="29" t="n">
        <f aca="true">IF(OR(A9="",F9="",G9="Concluído"),"",F9-TODAY())</f>
        <v>7</v>
      </c>
      <c r="I9" s="30" t="str">
        <f aca="false">IF(A9="","",IF(G9="Concluído","✅ Concluído",IF(F9="","⚪ Sem prazo",IF(H9&lt;0,"🔴 COBRAR · "&amp;-H9&amp;" dia(s) atrasado",IF(H9=0,"🟠 Vence HOJE",IF(H9&lt;=3,"🟠 Vence em "&amp;H9&amp;" dia(s)","🟢 No prazo"))))))</f>
        <v>🟢 No prazo</v>
      </c>
      <c r="J9" s="27"/>
      <c r="K9" s="26"/>
      <c r="L9" s="30" t="str">
        <f aca="true">IF(OR(A9="",G9="Concluído",F9=""),"",IF(F9&lt;=TODAY()+3,F9+ROW()/1000000,""))</f>
        <v/>
      </c>
    </row>
    <row r="10" customFormat="false" ht="15" hidden="false" customHeight="false" outlineLevel="0" collapsed="false">
      <c r="A10" s="26" t="s">
        <v>52</v>
      </c>
      <c r="B10" s="26" t="s">
        <v>53</v>
      </c>
      <c r="C10" s="27" t="n">
        <v>46325</v>
      </c>
      <c r="D10" s="26" t="s">
        <v>33</v>
      </c>
      <c r="E10" s="26" t="s">
        <v>34</v>
      </c>
      <c r="F10" s="28" t="n">
        <f aca="false">IF(OR(C10="",D10=""),"",IFERROR(C10-INDEX(Listas!$B$5:$B$30,MATCH(D10,Listas!$A$5:$A$30,0)),""))</f>
        <v>46295</v>
      </c>
      <c r="G10" s="26" t="s">
        <v>35</v>
      </c>
      <c r="H10" s="29" t="str">
        <f aca="true">IF(OR(A10="",F10="",G10="Concluído"),"",F10-TODAY())</f>
        <v/>
      </c>
      <c r="I10" s="30" t="str">
        <f aca="false">IF(A10="","",IF(G10="Concluído","✅ Concluído",IF(F10="","⚪ Sem prazo",IF(H10&lt;0,"🔴 COBRAR · "&amp;-H10&amp;" dia(s) atrasado",IF(H10=0,"🟠 Vence HOJE",IF(H10&lt;=3,"🟠 Vence em "&amp;H10&amp;" dia(s)","🟢 No prazo"))))))</f>
        <v>✅ Concluído</v>
      </c>
      <c r="J10" s="27"/>
      <c r="K10" s="26"/>
      <c r="L10" s="30" t="str">
        <f aca="true">IF(OR(A10="",G10="Concluído",F10=""),"",IF(F10&lt;=TODAY()+3,F10+ROW()/1000000,""))</f>
        <v/>
      </c>
    </row>
    <row r="11" customFormat="false" ht="15" hidden="false" customHeight="false" outlineLevel="0" collapsed="false">
      <c r="A11" s="26" t="s">
        <v>52</v>
      </c>
      <c r="B11" s="26" t="s">
        <v>53</v>
      </c>
      <c r="C11" s="27" t="n">
        <v>46325</v>
      </c>
      <c r="D11" s="26" t="s">
        <v>36</v>
      </c>
      <c r="E11" s="26" t="s">
        <v>37</v>
      </c>
      <c r="F11" s="28" t="n">
        <f aca="false">IF(OR(C11="",D11=""),"",IFERROR(C11-INDEX(Listas!$B$5:$B$30,MATCH(D11,Listas!$A$5:$A$30,0)),""))</f>
        <v>46304</v>
      </c>
      <c r="G11" s="26" t="s">
        <v>41</v>
      </c>
      <c r="H11" s="29" t="n">
        <f aca="true">IF(OR(A11="",F11="",G11="Concluído"),"",F11-TODAY())</f>
        <v>0</v>
      </c>
      <c r="I11" s="30" t="str">
        <f aca="false">IF(A11="","",IF(G11="Concluído","✅ Concluído",IF(F11="","⚪ Sem prazo",IF(H11&lt;0,"🔴 COBRAR · "&amp;-H11&amp;" dia(s) atrasado",IF(H11=0,"🟠 Vence HOJE",IF(H11&lt;=3,"🟠 Vence em "&amp;H11&amp;" dia(s)","🟢 No prazo"))))))</f>
        <v>🟠 Vence HOJE</v>
      </c>
      <c r="J11" s="27"/>
      <c r="K11" s="26" t="s">
        <v>54</v>
      </c>
      <c r="L11" s="31" t="n">
        <f aca="true">IF(OR(A11="",G11="Concluído",F11=""),"",IF(F11&lt;=TODAY()+3,F11+ROW()/1000000,""))</f>
        <v>46304.000011</v>
      </c>
    </row>
    <row r="12" customFormat="false" ht="15" hidden="false" customHeight="false" outlineLevel="0" collapsed="false">
      <c r="A12" s="26" t="s">
        <v>52</v>
      </c>
      <c r="B12" s="26" t="s">
        <v>53</v>
      </c>
      <c r="C12" s="27" t="n">
        <v>46325</v>
      </c>
      <c r="D12" s="26" t="s">
        <v>38</v>
      </c>
      <c r="E12" s="26" t="s">
        <v>39</v>
      </c>
      <c r="F12" s="28" t="n">
        <f aca="false">IF(OR(C12="",D12=""),"",IFERROR(C12-INDEX(Listas!$B$5:$B$30,MATCH(D12,Listas!$A$5:$A$30,0)),""))</f>
        <v>46311</v>
      </c>
      <c r="G12" s="26" t="s">
        <v>45</v>
      </c>
      <c r="H12" s="29" t="n">
        <f aca="true">IF(OR(A12="",F12="",G12="Concluído"),"",F12-TODAY())</f>
        <v>7</v>
      </c>
      <c r="I12" s="30" t="str">
        <f aca="false">IF(A12="","",IF(G12="Concluído","✅ Concluído",IF(F12="","⚪ Sem prazo",IF(H12&lt;0,"🔴 COBRAR · "&amp;-H12&amp;" dia(s) atrasado",IF(H12=0,"🟠 Vence HOJE",IF(H12&lt;=3,"🟠 Vence em "&amp;H12&amp;" dia(s)","🟢 No prazo"))))))</f>
        <v>🟢 No prazo</v>
      </c>
      <c r="J12" s="27"/>
      <c r="K12" s="26"/>
      <c r="L12" s="30" t="str">
        <f aca="true">IF(OR(A12="",G12="Concluído",F12=""),"",IF(F12&lt;=TODAY()+3,F12+ROW()/1000000,""))</f>
        <v/>
      </c>
    </row>
    <row r="13" customFormat="false" ht="15" hidden="false" customHeight="false" outlineLevel="0" collapsed="false">
      <c r="A13" s="26" t="s">
        <v>52</v>
      </c>
      <c r="B13" s="26" t="s">
        <v>53</v>
      </c>
      <c r="C13" s="27" t="n">
        <v>46325</v>
      </c>
      <c r="D13" s="26" t="s">
        <v>40</v>
      </c>
      <c r="E13" s="26" t="s">
        <v>39</v>
      </c>
      <c r="F13" s="28" t="n">
        <f aca="false">IF(OR(C13="",D13=""),"",IFERROR(C13-INDEX(Listas!$B$5:$B$30,MATCH(D13,Listas!$A$5:$A$30,0)),""))</f>
        <v>46315</v>
      </c>
      <c r="G13" s="26" t="s">
        <v>45</v>
      </c>
      <c r="H13" s="29" t="n">
        <f aca="true">IF(OR(A13="",F13="",G13="Concluído"),"",F13-TODAY())</f>
        <v>11</v>
      </c>
      <c r="I13" s="30" t="str">
        <f aca="false">IF(A13="","",IF(G13="Concluído","✅ Concluído",IF(F13="","⚪ Sem prazo",IF(H13&lt;0,"🔴 COBRAR · "&amp;-H13&amp;" dia(s) atrasado",IF(H13=0,"🟠 Vence HOJE",IF(H13&lt;=3,"🟠 Vence em "&amp;H13&amp;" dia(s)","🟢 No prazo"))))))</f>
        <v>🟢 No prazo</v>
      </c>
      <c r="J13" s="27"/>
      <c r="K13" s="26"/>
      <c r="L13" s="30" t="str">
        <f aca="true">IF(OR(A13="",G13="Concluído",F13=""),"",IF(F13&lt;=TODAY()+3,F13+ROW()/1000000,""))</f>
        <v/>
      </c>
    </row>
    <row r="14" customFormat="false" ht="15" hidden="false" customHeight="false" outlineLevel="0" collapsed="false">
      <c r="A14" s="26" t="s">
        <v>52</v>
      </c>
      <c r="B14" s="26" t="s">
        <v>53</v>
      </c>
      <c r="C14" s="27" t="n">
        <v>46325</v>
      </c>
      <c r="D14" s="26" t="s">
        <v>55</v>
      </c>
      <c r="E14" s="26" t="s">
        <v>37</v>
      </c>
      <c r="F14" s="28" t="n">
        <f aca="false">IF(OR(C14="",D14=""),"",IFERROR(C14-INDEX(Listas!$B$5:$B$30,MATCH(D14,Listas!$A$5:$A$30,0)),""))</f>
        <v>46322</v>
      </c>
      <c r="G14" s="26" t="s">
        <v>45</v>
      </c>
      <c r="H14" s="29" t="n">
        <f aca="true">IF(OR(A14="",F14="",G14="Concluído"),"",F14-TODAY())</f>
        <v>18</v>
      </c>
      <c r="I14" s="30" t="str">
        <f aca="false">IF(A14="","",IF(G14="Concluído","✅ Concluído",IF(F14="","⚪ Sem prazo",IF(H14&lt;0,"🔴 COBRAR · "&amp;-H14&amp;" dia(s) atrasado",IF(H14=0,"🟠 Vence HOJE",IF(H14&lt;=3,"🟠 Vence em "&amp;H14&amp;" dia(s)","🟢 No prazo"))))))</f>
        <v>🟢 No prazo</v>
      </c>
      <c r="J14" s="27"/>
      <c r="K14" s="26"/>
      <c r="L14" s="30" t="str">
        <f aca="true">IF(OR(A14="",G14="Concluído",F14=""),"",IF(F14&lt;=TODAY()+3,F14+ROW()/1000000,""))</f>
        <v/>
      </c>
    </row>
    <row r="15" customFormat="false" ht="15" hidden="false" customHeight="false" outlineLevel="0" collapsed="false">
      <c r="A15" s="26" t="s">
        <v>56</v>
      </c>
      <c r="B15" s="26" t="s">
        <v>57</v>
      </c>
      <c r="C15" s="27" t="n">
        <v>46290</v>
      </c>
      <c r="D15" s="26" t="s">
        <v>50</v>
      </c>
      <c r="E15" s="26" t="s">
        <v>51</v>
      </c>
      <c r="F15" s="28" t="n">
        <f aca="false">IF(OR(C15="",D15=""),"",IFERROR(C15-INDEX(Listas!$B$5:$B$30,MATCH(D15,Listas!$A$5:$A$30,0)),""))</f>
        <v>46290</v>
      </c>
      <c r="G15" s="26" t="s">
        <v>35</v>
      </c>
      <c r="H15" s="29" t="str">
        <f aca="true">IF(OR(A15="",F15="",G15="Concluído"),"",F15-TODAY())</f>
        <v/>
      </c>
      <c r="I15" s="30" t="str">
        <f aca="false">IF(A15="","",IF(G15="Concluído","✅ Concluído",IF(F15="","⚪ Sem prazo",IF(H15&lt;0,"🔴 COBRAR · "&amp;-H15&amp;" dia(s) atrasado",IF(H15=0,"🟠 Vence HOJE",IF(H15&lt;=3,"🟠 Vence em "&amp;H15&amp;" dia(s)","🟢 No prazo"))))))</f>
        <v>✅ Concluído</v>
      </c>
      <c r="J15" s="27"/>
      <c r="K15" s="26"/>
      <c r="L15" s="30" t="str">
        <f aca="true">IF(OR(A15="",G15="Concluído",F15=""),"",IF(F15&lt;=TODAY()+3,F15+ROW()/1000000,""))</f>
        <v/>
      </c>
    </row>
    <row r="16" customFormat="false" ht="15" hidden="false" customHeight="false" outlineLevel="0" collapsed="false">
      <c r="A16" s="26" t="s">
        <v>56</v>
      </c>
      <c r="B16" s="26" t="s">
        <v>57</v>
      </c>
      <c r="C16" s="27" t="n">
        <v>46290</v>
      </c>
      <c r="D16" s="26" t="s">
        <v>58</v>
      </c>
      <c r="E16" s="26" t="s">
        <v>51</v>
      </c>
      <c r="F16" s="28" t="n">
        <f aca="false">IF(OR(C16="",D16=""),"",IFERROR(C16-INDEX(Listas!$B$5:$B$30,MATCH(D16,Listas!$A$5:$A$30,0)),""))</f>
        <v>46304</v>
      </c>
      <c r="G16" s="26" t="s">
        <v>41</v>
      </c>
      <c r="H16" s="29" t="n">
        <f aca="true">IF(OR(A16="",F16="",G16="Concluído"),"",F16-TODAY())</f>
        <v>0</v>
      </c>
      <c r="I16" s="30" t="str">
        <f aca="false">IF(A16="","",IF(G16="Concluído","✅ Concluído",IF(F16="","⚪ Sem prazo",IF(H16&lt;0,"🔴 COBRAR · "&amp;-H16&amp;" dia(s) atrasado",IF(H16=0,"🟠 Vence HOJE",IF(H16&lt;=3,"🟠 Vence em "&amp;H16&amp;" dia(s)","🟢 No prazo"))))))</f>
        <v>🟠 Vence HOJE</v>
      </c>
      <c r="J16" s="27"/>
      <c r="K16" s="26" t="s">
        <v>59</v>
      </c>
      <c r="L16" s="31" t="n">
        <f aca="true">IF(OR(A16="",G16="Concluído",F16=""),"",IF(F16&lt;=TODAY()+3,F16+ROW()/1000000,""))</f>
        <v>46304.000016</v>
      </c>
    </row>
    <row r="17" customFormat="false" ht="15" hidden="false" customHeight="false" outlineLevel="0" collapsed="false">
      <c r="A17" s="26"/>
      <c r="B17" s="26"/>
      <c r="C17" s="27"/>
      <c r="D17" s="26"/>
      <c r="E17" s="26"/>
      <c r="F17" s="28" t="str">
        <f aca="false">IF(OR(C17="",D17=""),"",IFERROR(C17-INDEX(Listas!$B$5:$B$30,MATCH(D17,Listas!$A$5:$A$30,0)),""))</f>
        <v/>
      </c>
      <c r="G17" s="26"/>
      <c r="H17" s="29" t="str">
        <f aca="true">IF(OR(A17="",F17="",G17="Concluído"),"",F17-TODAY())</f>
        <v/>
      </c>
      <c r="I17" s="30" t="str">
        <f aca="false">IF(A17="","",IF(G17="Concluído","✅ Concluído",IF(F17="","⚪ Sem prazo",IF(H17&lt;0,"🔴 COBRAR · "&amp;-H17&amp;" dia(s) atrasado",IF(H17=0,"🟠 Vence HOJE",IF(H17&lt;=3,"🟠 Vence em "&amp;H17&amp;" dia(s)","🟢 No prazo"))))))</f>
        <v/>
      </c>
      <c r="J17" s="27"/>
      <c r="K17" s="26"/>
      <c r="L17" s="30" t="str">
        <f aca="true">IF(OR(A17="",G17="Concluído",F17=""),"",IF(F17&lt;=TODAY()+3,F17+ROW()/1000000,""))</f>
        <v/>
      </c>
    </row>
    <row r="18" customFormat="false" ht="15" hidden="false" customHeight="false" outlineLevel="0" collapsed="false">
      <c r="A18" s="26"/>
      <c r="B18" s="26"/>
      <c r="C18" s="27"/>
      <c r="D18" s="26"/>
      <c r="E18" s="26"/>
      <c r="F18" s="28" t="str">
        <f aca="false">IF(OR(C18="",D18=""),"",IFERROR(C18-INDEX(Listas!$B$5:$B$30,MATCH(D18,Listas!$A$5:$A$30,0)),""))</f>
        <v/>
      </c>
      <c r="G18" s="26"/>
      <c r="H18" s="29" t="str">
        <f aca="true">IF(OR(A18="",F18="",G18="Concluído"),"",F18-TODAY())</f>
        <v/>
      </c>
      <c r="I18" s="30" t="str">
        <f aca="false">IF(A18="","",IF(G18="Concluído","✅ Concluído",IF(F18="","⚪ Sem prazo",IF(H18&lt;0,"🔴 COBRAR · "&amp;-H18&amp;" dia(s) atrasado",IF(H18=0,"🟠 Vence HOJE",IF(H18&lt;=3,"🟠 Vence em "&amp;H18&amp;" dia(s)","🟢 No prazo"))))))</f>
        <v/>
      </c>
      <c r="J18" s="27"/>
      <c r="K18" s="26"/>
      <c r="L18" s="30" t="str">
        <f aca="true">IF(OR(A18="",G18="Concluído",F18=""),"",IF(F18&lt;=TODAY()+3,F18+ROW()/1000000,""))</f>
        <v/>
      </c>
    </row>
    <row r="19" customFormat="false" ht="15" hidden="false" customHeight="false" outlineLevel="0" collapsed="false">
      <c r="A19" s="26"/>
      <c r="B19" s="26"/>
      <c r="C19" s="27"/>
      <c r="D19" s="26"/>
      <c r="E19" s="26"/>
      <c r="F19" s="28" t="str">
        <f aca="false">IF(OR(C19="",D19=""),"",IFERROR(C19-INDEX(Listas!$B$5:$B$30,MATCH(D19,Listas!$A$5:$A$30,0)),""))</f>
        <v/>
      </c>
      <c r="G19" s="26"/>
      <c r="H19" s="29" t="str">
        <f aca="true">IF(OR(A19="",F19="",G19="Concluído"),"",F19-TODAY())</f>
        <v/>
      </c>
      <c r="I19" s="30" t="str">
        <f aca="false">IF(A19="","",IF(G19="Concluído","✅ Concluído",IF(F19="","⚪ Sem prazo",IF(H19&lt;0,"🔴 COBRAR · "&amp;-H19&amp;" dia(s) atrasado",IF(H19=0,"🟠 Vence HOJE",IF(H19&lt;=3,"🟠 Vence em "&amp;H19&amp;" dia(s)","🟢 No prazo"))))))</f>
        <v/>
      </c>
      <c r="J19" s="27"/>
      <c r="K19" s="26"/>
      <c r="L19" s="30" t="str">
        <f aca="true">IF(OR(A19="",G19="Concluído",F19=""),"",IF(F19&lt;=TODAY()+3,F19+ROW()/1000000,""))</f>
        <v/>
      </c>
    </row>
    <row r="20" customFormat="false" ht="15" hidden="false" customHeight="false" outlineLevel="0" collapsed="false">
      <c r="A20" s="26"/>
      <c r="B20" s="26"/>
      <c r="C20" s="27"/>
      <c r="D20" s="26"/>
      <c r="E20" s="26"/>
      <c r="F20" s="28" t="str">
        <f aca="false">IF(OR(C20="",D20=""),"",IFERROR(C20-INDEX(Listas!$B$5:$B$30,MATCH(D20,Listas!$A$5:$A$30,0)),""))</f>
        <v/>
      </c>
      <c r="G20" s="26"/>
      <c r="H20" s="29" t="str">
        <f aca="true">IF(OR(A20="",F20="",G20="Concluído"),"",F20-TODAY())</f>
        <v/>
      </c>
      <c r="I20" s="30" t="str">
        <f aca="false">IF(A20="","",IF(G20="Concluído","✅ Concluído",IF(F20="","⚪ Sem prazo",IF(H20&lt;0,"🔴 COBRAR · "&amp;-H20&amp;" dia(s) atrasado",IF(H20=0,"🟠 Vence HOJE",IF(H20&lt;=3,"🟠 Vence em "&amp;H20&amp;" dia(s)","🟢 No prazo"))))))</f>
        <v/>
      </c>
      <c r="J20" s="27"/>
      <c r="K20" s="26"/>
      <c r="L20" s="30" t="str">
        <f aca="true">IF(OR(A20="",G20="Concluído",F20=""),"",IF(F20&lt;=TODAY()+3,F20+ROW()/1000000,""))</f>
        <v/>
      </c>
    </row>
    <row r="21" customFormat="false" ht="15" hidden="false" customHeight="false" outlineLevel="0" collapsed="false">
      <c r="A21" s="26"/>
      <c r="B21" s="26"/>
      <c r="C21" s="27"/>
      <c r="D21" s="26"/>
      <c r="E21" s="26"/>
      <c r="F21" s="28" t="str">
        <f aca="false">IF(OR(C21="",D21=""),"",IFERROR(C21-INDEX(Listas!$B$5:$B$30,MATCH(D21,Listas!$A$5:$A$30,0)),""))</f>
        <v/>
      </c>
      <c r="G21" s="26"/>
      <c r="H21" s="29" t="str">
        <f aca="true">IF(OR(A21="",F21="",G21="Concluído"),"",F21-TODAY())</f>
        <v/>
      </c>
      <c r="I21" s="30" t="str">
        <f aca="false">IF(A21="","",IF(G21="Concluído","✅ Concluído",IF(F21="","⚪ Sem prazo",IF(H21&lt;0,"🔴 COBRAR · "&amp;-H21&amp;" dia(s) atrasado",IF(H21=0,"🟠 Vence HOJE",IF(H21&lt;=3,"🟠 Vence em "&amp;H21&amp;" dia(s)","🟢 No prazo"))))))</f>
        <v/>
      </c>
      <c r="J21" s="27"/>
      <c r="K21" s="26"/>
      <c r="L21" s="30" t="str">
        <f aca="true">IF(OR(A21="",G21="Concluído",F21=""),"",IF(F21&lt;=TODAY()+3,F21+ROW()/1000000,""))</f>
        <v/>
      </c>
    </row>
    <row r="22" customFormat="false" ht="15" hidden="false" customHeight="false" outlineLevel="0" collapsed="false">
      <c r="A22" s="26"/>
      <c r="B22" s="26"/>
      <c r="C22" s="27"/>
      <c r="D22" s="26"/>
      <c r="E22" s="26"/>
      <c r="F22" s="28" t="str">
        <f aca="false">IF(OR(C22="",D22=""),"",IFERROR(C22-INDEX(Listas!$B$5:$B$30,MATCH(D22,Listas!$A$5:$A$30,0)),""))</f>
        <v/>
      </c>
      <c r="G22" s="26"/>
      <c r="H22" s="29" t="str">
        <f aca="true">IF(OR(A22="",F22="",G22="Concluído"),"",F22-TODAY())</f>
        <v/>
      </c>
      <c r="I22" s="30" t="str">
        <f aca="false">IF(A22="","",IF(G22="Concluído","✅ Concluído",IF(F22="","⚪ Sem prazo",IF(H22&lt;0,"🔴 COBRAR · "&amp;-H22&amp;" dia(s) atrasado",IF(H22=0,"🟠 Vence HOJE",IF(H22&lt;=3,"🟠 Vence em "&amp;H22&amp;" dia(s)","🟢 No prazo"))))))</f>
        <v/>
      </c>
      <c r="J22" s="27"/>
      <c r="K22" s="26"/>
      <c r="L22" s="30" t="str">
        <f aca="true">IF(OR(A22="",G22="Concluído",F22=""),"",IF(F22&lt;=TODAY()+3,F22+ROW()/1000000,""))</f>
        <v/>
      </c>
    </row>
    <row r="23" customFormat="false" ht="15" hidden="false" customHeight="false" outlineLevel="0" collapsed="false">
      <c r="A23" s="26"/>
      <c r="B23" s="26"/>
      <c r="C23" s="27"/>
      <c r="D23" s="26"/>
      <c r="E23" s="26"/>
      <c r="F23" s="28" t="str">
        <f aca="false">IF(OR(C23="",D23=""),"",IFERROR(C23-INDEX(Listas!$B$5:$B$30,MATCH(D23,Listas!$A$5:$A$30,0)),""))</f>
        <v/>
      </c>
      <c r="G23" s="26"/>
      <c r="H23" s="29" t="str">
        <f aca="true">IF(OR(A23="",F23="",G23="Concluído"),"",F23-TODAY())</f>
        <v/>
      </c>
      <c r="I23" s="30" t="str">
        <f aca="false">IF(A23="","",IF(G23="Concluído","✅ Concluído",IF(F23="","⚪ Sem prazo",IF(H23&lt;0,"🔴 COBRAR · "&amp;-H23&amp;" dia(s) atrasado",IF(H23=0,"🟠 Vence HOJE",IF(H23&lt;=3,"🟠 Vence em "&amp;H23&amp;" dia(s)","🟢 No prazo"))))))</f>
        <v/>
      </c>
      <c r="J23" s="27"/>
      <c r="K23" s="26"/>
      <c r="L23" s="30" t="str">
        <f aca="true">IF(OR(A23="",G23="Concluído",F23=""),"",IF(F23&lt;=TODAY()+3,F23+ROW()/1000000,""))</f>
        <v/>
      </c>
    </row>
    <row r="24" customFormat="false" ht="15" hidden="false" customHeight="false" outlineLevel="0" collapsed="false">
      <c r="A24" s="26"/>
      <c r="B24" s="26"/>
      <c r="C24" s="27"/>
      <c r="D24" s="26"/>
      <c r="E24" s="26"/>
      <c r="F24" s="28" t="str">
        <f aca="false">IF(OR(C24="",D24=""),"",IFERROR(C24-INDEX(Listas!$B$5:$B$30,MATCH(D24,Listas!$A$5:$A$30,0)),""))</f>
        <v/>
      </c>
      <c r="G24" s="26"/>
      <c r="H24" s="29" t="str">
        <f aca="true">IF(OR(A24="",F24="",G24="Concluído"),"",F24-TODAY())</f>
        <v/>
      </c>
      <c r="I24" s="30" t="str">
        <f aca="false">IF(A24="","",IF(G24="Concluído","✅ Concluído",IF(F24="","⚪ Sem prazo",IF(H24&lt;0,"🔴 COBRAR · "&amp;-H24&amp;" dia(s) atrasado",IF(H24=0,"🟠 Vence HOJE",IF(H24&lt;=3,"🟠 Vence em "&amp;H24&amp;" dia(s)","🟢 No prazo"))))))</f>
        <v/>
      </c>
      <c r="J24" s="27"/>
      <c r="K24" s="26"/>
      <c r="L24" s="30" t="str">
        <f aca="true">IF(OR(A24="",G24="Concluído",F24=""),"",IF(F24&lt;=TODAY()+3,F24+ROW()/1000000,""))</f>
        <v/>
      </c>
    </row>
    <row r="25" customFormat="false" ht="15" hidden="false" customHeight="false" outlineLevel="0" collapsed="false">
      <c r="A25" s="26"/>
      <c r="B25" s="26"/>
      <c r="C25" s="27"/>
      <c r="D25" s="26"/>
      <c r="E25" s="26"/>
      <c r="F25" s="28" t="str">
        <f aca="false">IF(OR(C25="",D25=""),"",IFERROR(C25-INDEX(Listas!$B$5:$B$30,MATCH(D25,Listas!$A$5:$A$30,0)),""))</f>
        <v/>
      </c>
      <c r="G25" s="26"/>
      <c r="H25" s="29" t="str">
        <f aca="true">IF(OR(A25="",F25="",G25="Concluído"),"",F25-TODAY())</f>
        <v/>
      </c>
      <c r="I25" s="30" t="str">
        <f aca="false">IF(A25="","",IF(G25="Concluído","✅ Concluído",IF(F25="","⚪ Sem prazo",IF(H25&lt;0,"🔴 COBRAR · "&amp;-H25&amp;" dia(s) atrasado",IF(H25=0,"🟠 Vence HOJE",IF(H25&lt;=3,"🟠 Vence em "&amp;H25&amp;" dia(s)","🟢 No prazo"))))))</f>
        <v/>
      </c>
      <c r="J25" s="27"/>
      <c r="K25" s="26"/>
      <c r="L25" s="30" t="str">
        <f aca="true">IF(OR(A25="",G25="Concluído",F25=""),"",IF(F25&lt;=TODAY()+3,F25+ROW()/1000000,""))</f>
        <v/>
      </c>
    </row>
    <row r="26" customFormat="false" ht="15" hidden="false" customHeight="false" outlineLevel="0" collapsed="false">
      <c r="A26" s="26"/>
      <c r="B26" s="26"/>
      <c r="C26" s="27"/>
      <c r="D26" s="26"/>
      <c r="E26" s="26"/>
      <c r="F26" s="28" t="str">
        <f aca="false">IF(OR(C26="",D26=""),"",IFERROR(C26-INDEX(Listas!$B$5:$B$30,MATCH(D26,Listas!$A$5:$A$30,0)),""))</f>
        <v/>
      </c>
      <c r="G26" s="26"/>
      <c r="H26" s="29" t="str">
        <f aca="true">IF(OR(A26="",F26="",G26="Concluído"),"",F26-TODAY())</f>
        <v/>
      </c>
      <c r="I26" s="30" t="str">
        <f aca="false">IF(A26="","",IF(G26="Concluído","✅ Concluído",IF(F26="","⚪ Sem prazo",IF(H26&lt;0,"🔴 COBRAR · "&amp;-H26&amp;" dia(s) atrasado",IF(H26=0,"🟠 Vence HOJE",IF(H26&lt;=3,"🟠 Vence em "&amp;H26&amp;" dia(s)","🟢 No prazo"))))))</f>
        <v/>
      </c>
      <c r="J26" s="27"/>
      <c r="K26" s="26"/>
      <c r="L26" s="30" t="str">
        <f aca="true">IF(OR(A26="",G26="Concluído",F26=""),"",IF(F26&lt;=TODAY()+3,F26+ROW()/1000000,""))</f>
        <v/>
      </c>
    </row>
    <row r="27" customFormat="false" ht="15" hidden="false" customHeight="false" outlineLevel="0" collapsed="false">
      <c r="A27" s="26"/>
      <c r="B27" s="26"/>
      <c r="C27" s="27"/>
      <c r="D27" s="26"/>
      <c r="E27" s="26"/>
      <c r="F27" s="28" t="str">
        <f aca="false">IF(OR(C27="",D27=""),"",IFERROR(C27-INDEX(Listas!$B$5:$B$30,MATCH(D27,Listas!$A$5:$A$30,0)),""))</f>
        <v/>
      </c>
      <c r="G27" s="26"/>
      <c r="H27" s="29" t="str">
        <f aca="true">IF(OR(A27="",F27="",G27="Concluído"),"",F27-TODAY())</f>
        <v/>
      </c>
      <c r="I27" s="30" t="str">
        <f aca="false">IF(A27="","",IF(G27="Concluído","✅ Concluído",IF(F27="","⚪ Sem prazo",IF(H27&lt;0,"🔴 COBRAR · "&amp;-H27&amp;" dia(s) atrasado",IF(H27=0,"🟠 Vence HOJE",IF(H27&lt;=3,"🟠 Vence em "&amp;H27&amp;" dia(s)","🟢 No prazo"))))))</f>
        <v/>
      </c>
      <c r="J27" s="27"/>
      <c r="K27" s="26"/>
      <c r="L27" s="30" t="str">
        <f aca="true">IF(OR(A27="",G27="Concluído",F27=""),"",IF(F27&lt;=TODAY()+3,F27+ROW()/1000000,""))</f>
        <v/>
      </c>
    </row>
    <row r="28" customFormat="false" ht="15" hidden="false" customHeight="false" outlineLevel="0" collapsed="false">
      <c r="A28" s="26"/>
      <c r="B28" s="26"/>
      <c r="C28" s="27"/>
      <c r="D28" s="26"/>
      <c r="E28" s="26"/>
      <c r="F28" s="28" t="str">
        <f aca="false">IF(OR(C28="",D28=""),"",IFERROR(C28-INDEX(Listas!$B$5:$B$30,MATCH(D28,Listas!$A$5:$A$30,0)),""))</f>
        <v/>
      </c>
      <c r="G28" s="26"/>
      <c r="H28" s="29" t="str">
        <f aca="true">IF(OR(A28="",F28="",G28="Concluído"),"",F28-TODAY())</f>
        <v/>
      </c>
      <c r="I28" s="30" t="str">
        <f aca="false">IF(A28="","",IF(G28="Concluído","✅ Concluído",IF(F28="","⚪ Sem prazo",IF(H28&lt;0,"🔴 COBRAR · "&amp;-H28&amp;" dia(s) atrasado",IF(H28=0,"🟠 Vence HOJE",IF(H28&lt;=3,"🟠 Vence em "&amp;H28&amp;" dia(s)","🟢 No prazo"))))))</f>
        <v/>
      </c>
      <c r="J28" s="27"/>
      <c r="K28" s="26"/>
      <c r="L28" s="30" t="str">
        <f aca="true">IF(OR(A28="",G28="Concluído",F28=""),"",IF(F28&lt;=TODAY()+3,F28+ROW()/1000000,""))</f>
        <v/>
      </c>
    </row>
    <row r="29" customFormat="false" ht="15" hidden="false" customHeight="false" outlineLevel="0" collapsed="false">
      <c r="A29" s="26"/>
      <c r="B29" s="26"/>
      <c r="C29" s="27"/>
      <c r="D29" s="26"/>
      <c r="E29" s="26"/>
      <c r="F29" s="28" t="str">
        <f aca="false">IF(OR(C29="",D29=""),"",IFERROR(C29-INDEX(Listas!$B$5:$B$30,MATCH(D29,Listas!$A$5:$A$30,0)),""))</f>
        <v/>
      </c>
      <c r="G29" s="26"/>
      <c r="H29" s="29" t="str">
        <f aca="true">IF(OR(A29="",F29="",G29="Concluído"),"",F29-TODAY())</f>
        <v/>
      </c>
      <c r="I29" s="30" t="str">
        <f aca="false">IF(A29="","",IF(G29="Concluído","✅ Concluído",IF(F29="","⚪ Sem prazo",IF(H29&lt;0,"🔴 COBRAR · "&amp;-H29&amp;" dia(s) atrasado",IF(H29=0,"🟠 Vence HOJE",IF(H29&lt;=3,"🟠 Vence em "&amp;H29&amp;" dia(s)","🟢 No prazo"))))))</f>
        <v/>
      </c>
      <c r="J29" s="27"/>
      <c r="K29" s="26"/>
      <c r="L29" s="30" t="str">
        <f aca="true">IF(OR(A29="",G29="Concluído",F29=""),"",IF(F29&lt;=TODAY()+3,F29+ROW()/1000000,""))</f>
        <v/>
      </c>
    </row>
    <row r="30" customFormat="false" ht="15" hidden="false" customHeight="false" outlineLevel="0" collapsed="false">
      <c r="A30" s="26"/>
      <c r="B30" s="26"/>
      <c r="C30" s="27"/>
      <c r="D30" s="26"/>
      <c r="E30" s="26"/>
      <c r="F30" s="28" t="str">
        <f aca="false">IF(OR(C30="",D30=""),"",IFERROR(C30-INDEX(Listas!$B$5:$B$30,MATCH(D30,Listas!$A$5:$A$30,0)),""))</f>
        <v/>
      </c>
      <c r="G30" s="26"/>
      <c r="H30" s="29" t="str">
        <f aca="true">IF(OR(A30="",F30="",G30="Concluído"),"",F30-TODAY())</f>
        <v/>
      </c>
      <c r="I30" s="30" t="str">
        <f aca="false">IF(A30="","",IF(G30="Concluído","✅ Concluído",IF(F30="","⚪ Sem prazo",IF(H30&lt;0,"🔴 COBRAR · "&amp;-H30&amp;" dia(s) atrasado",IF(H30=0,"🟠 Vence HOJE",IF(H30&lt;=3,"🟠 Vence em "&amp;H30&amp;" dia(s)","🟢 No prazo"))))))</f>
        <v/>
      </c>
      <c r="J30" s="27"/>
      <c r="K30" s="26"/>
      <c r="L30" s="30" t="str">
        <f aca="true">IF(OR(A30="",G30="Concluído",F30=""),"",IF(F30&lt;=TODAY()+3,F30+ROW()/1000000,""))</f>
        <v/>
      </c>
    </row>
    <row r="31" customFormat="false" ht="15" hidden="false" customHeight="false" outlineLevel="0" collapsed="false">
      <c r="A31" s="26"/>
      <c r="B31" s="26"/>
      <c r="C31" s="27"/>
      <c r="D31" s="26"/>
      <c r="E31" s="26"/>
      <c r="F31" s="28" t="str">
        <f aca="false">IF(OR(C31="",D31=""),"",IFERROR(C31-INDEX(Listas!$B$5:$B$30,MATCH(D31,Listas!$A$5:$A$30,0)),""))</f>
        <v/>
      </c>
      <c r="G31" s="26"/>
      <c r="H31" s="29" t="str">
        <f aca="true">IF(OR(A31="",F31="",G31="Concluído"),"",F31-TODAY())</f>
        <v/>
      </c>
      <c r="I31" s="30" t="str">
        <f aca="false">IF(A31="","",IF(G31="Concluído","✅ Concluído",IF(F31="","⚪ Sem prazo",IF(H31&lt;0,"🔴 COBRAR · "&amp;-H31&amp;" dia(s) atrasado",IF(H31=0,"🟠 Vence HOJE",IF(H31&lt;=3,"🟠 Vence em "&amp;H31&amp;" dia(s)","🟢 No prazo"))))))</f>
        <v/>
      </c>
      <c r="J31" s="27"/>
      <c r="K31" s="26"/>
      <c r="L31" s="30" t="str">
        <f aca="true">IF(OR(A31="",G31="Concluído",F31=""),"",IF(F31&lt;=TODAY()+3,F31+ROW()/1000000,""))</f>
        <v/>
      </c>
    </row>
    <row r="32" customFormat="false" ht="15" hidden="false" customHeight="false" outlineLevel="0" collapsed="false">
      <c r="A32" s="26"/>
      <c r="B32" s="26"/>
      <c r="C32" s="27"/>
      <c r="D32" s="26"/>
      <c r="E32" s="26"/>
      <c r="F32" s="28" t="str">
        <f aca="false">IF(OR(C32="",D32=""),"",IFERROR(C32-INDEX(Listas!$B$5:$B$30,MATCH(D32,Listas!$A$5:$A$30,0)),""))</f>
        <v/>
      </c>
      <c r="G32" s="26"/>
      <c r="H32" s="29" t="str">
        <f aca="true">IF(OR(A32="",F32="",G32="Concluído"),"",F32-TODAY())</f>
        <v/>
      </c>
      <c r="I32" s="30" t="str">
        <f aca="false">IF(A32="","",IF(G32="Concluído","✅ Concluído",IF(F32="","⚪ Sem prazo",IF(H32&lt;0,"🔴 COBRAR · "&amp;-H32&amp;" dia(s) atrasado",IF(H32=0,"🟠 Vence HOJE",IF(H32&lt;=3,"🟠 Vence em "&amp;H32&amp;" dia(s)","🟢 No prazo"))))))</f>
        <v/>
      </c>
      <c r="J32" s="27"/>
      <c r="K32" s="26"/>
      <c r="L32" s="30" t="str">
        <f aca="true">IF(OR(A32="",G32="Concluído",F32=""),"",IF(F32&lt;=TODAY()+3,F32+ROW()/1000000,""))</f>
        <v/>
      </c>
    </row>
    <row r="33" customFormat="false" ht="15" hidden="false" customHeight="false" outlineLevel="0" collapsed="false">
      <c r="A33" s="26"/>
      <c r="B33" s="26"/>
      <c r="C33" s="27"/>
      <c r="D33" s="26"/>
      <c r="E33" s="26"/>
      <c r="F33" s="28" t="str">
        <f aca="false">IF(OR(C33="",D33=""),"",IFERROR(C33-INDEX(Listas!$B$5:$B$30,MATCH(D33,Listas!$A$5:$A$30,0)),""))</f>
        <v/>
      </c>
      <c r="G33" s="26"/>
      <c r="H33" s="29" t="str">
        <f aca="true">IF(OR(A33="",F33="",G33="Concluído"),"",F33-TODAY())</f>
        <v/>
      </c>
      <c r="I33" s="30" t="str">
        <f aca="false">IF(A33="","",IF(G33="Concluído","✅ Concluído",IF(F33="","⚪ Sem prazo",IF(H33&lt;0,"🔴 COBRAR · "&amp;-H33&amp;" dia(s) atrasado",IF(H33=0,"🟠 Vence HOJE",IF(H33&lt;=3,"🟠 Vence em "&amp;H33&amp;" dia(s)","🟢 No prazo"))))))</f>
        <v/>
      </c>
      <c r="J33" s="27"/>
      <c r="K33" s="26"/>
      <c r="L33" s="30" t="str">
        <f aca="true">IF(OR(A33="",G33="Concluído",F33=""),"",IF(F33&lt;=TODAY()+3,F33+ROW()/1000000,""))</f>
        <v/>
      </c>
    </row>
    <row r="34" customFormat="false" ht="15" hidden="false" customHeight="false" outlineLevel="0" collapsed="false">
      <c r="A34" s="26"/>
      <c r="B34" s="26"/>
      <c r="C34" s="27"/>
      <c r="D34" s="26"/>
      <c r="E34" s="26"/>
      <c r="F34" s="28" t="str">
        <f aca="false">IF(OR(C34="",D34=""),"",IFERROR(C34-INDEX(Listas!$B$5:$B$30,MATCH(D34,Listas!$A$5:$A$30,0)),""))</f>
        <v/>
      </c>
      <c r="G34" s="26"/>
      <c r="H34" s="29" t="str">
        <f aca="true">IF(OR(A34="",F34="",G34="Concluído"),"",F34-TODAY())</f>
        <v/>
      </c>
      <c r="I34" s="30" t="str">
        <f aca="false">IF(A34="","",IF(G34="Concluído","✅ Concluído",IF(F34="","⚪ Sem prazo",IF(H34&lt;0,"🔴 COBRAR · "&amp;-H34&amp;" dia(s) atrasado",IF(H34=0,"🟠 Vence HOJE",IF(H34&lt;=3,"🟠 Vence em "&amp;H34&amp;" dia(s)","🟢 No prazo"))))))</f>
        <v/>
      </c>
      <c r="J34" s="27"/>
      <c r="K34" s="26"/>
      <c r="L34" s="30" t="str">
        <f aca="true">IF(OR(A34="",G34="Concluído",F34=""),"",IF(F34&lt;=TODAY()+3,F34+ROW()/1000000,""))</f>
        <v/>
      </c>
    </row>
    <row r="35" customFormat="false" ht="15" hidden="false" customHeight="false" outlineLevel="0" collapsed="false">
      <c r="A35" s="26"/>
      <c r="B35" s="26"/>
      <c r="C35" s="27"/>
      <c r="D35" s="26"/>
      <c r="E35" s="26"/>
      <c r="F35" s="28" t="str">
        <f aca="false">IF(OR(C35="",D35=""),"",IFERROR(C35-INDEX(Listas!$B$5:$B$30,MATCH(D35,Listas!$A$5:$A$30,0)),""))</f>
        <v/>
      </c>
      <c r="G35" s="26"/>
      <c r="H35" s="29" t="str">
        <f aca="true">IF(OR(A35="",F35="",G35="Concluído"),"",F35-TODAY())</f>
        <v/>
      </c>
      <c r="I35" s="30" t="str">
        <f aca="false">IF(A35="","",IF(G35="Concluído","✅ Concluído",IF(F35="","⚪ Sem prazo",IF(H35&lt;0,"🔴 COBRAR · "&amp;-H35&amp;" dia(s) atrasado",IF(H35=0,"🟠 Vence HOJE",IF(H35&lt;=3,"🟠 Vence em "&amp;H35&amp;" dia(s)","🟢 No prazo"))))))</f>
        <v/>
      </c>
      <c r="J35" s="27"/>
      <c r="K35" s="26"/>
      <c r="L35" s="30" t="str">
        <f aca="true">IF(OR(A35="",G35="Concluído",F35=""),"",IF(F35&lt;=TODAY()+3,F35+ROW()/1000000,""))</f>
        <v/>
      </c>
    </row>
    <row r="36" customFormat="false" ht="15" hidden="false" customHeight="false" outlineLevel="0" collapsed="false">
      <c r="A36" s="26"/>
      <c r="B36" s="26"/>
      <c r="C36" s="27"/>
      <c r="D36" s="26"/>
      <c r="E36" s="26"/>
      <c r="F36" s="28" t="str">
        <f aca="false">IF(OR(C36="",D36=""),"",IFERROR(C36-INDEX(Listas!$B$5:$B$30,MATCH(D36,Listas!$A$5:$A$30,0)),""))</f>
        <v/>
      </c>
      <c r="G36" s="26"/>
      <c r="H36" s="29" t="str">
        <f aca="true">IF(OR(A36="",F36="",G36="Concluído"),"",F36-TODAY())</f>
        <v/>
      </c>
      <c r="I36" s="30" t="str">
        <f aca="false">IF(A36="","",IF(G36="Concluído","✅ Concluído",IF(F36="","⚪ Sem prazo",IF(H36&lt;0,"🔴 COBRAR · "&amp;-H36&amp;" dia(s) atrasado",IF(H36=0,"🟠 Vence HOJE",IF(H36&lt;=3,"🟠 Vence em "&amp;H36&amp;" dia(s)","🟢 No prazo"))))))</f>
        <v/>
      </c>
      <c r="J36" s="27"/>
      <c r="K36" s="26"/>
      <c r="L36" s="30" t="str">
        <f aca="true">IF(OR(A36="",G36="Concluído",F36=""),"",IF(F36&lt;=TODAY()+3,F36+ROW()/1000000,""))</f>
        <v/>
      </c>
    </row>
    <row r="37" customFormat="false" ht="15" hidden="false" customHeight="false" outlineLevel="0" collapsed="false">
      <c r="A37" s="26"/>
      <c r="B37" s="26"/>
      <c r="C37" s="27"/>
      <c r="D37" s="26"/>
      <c r="E37" s="26"/>
      <c r="F37" s="28" t="str">
        <f aca="false">IF(OR(C37="",D37=""),"",IFERROR(C37-INDEX(Listas!$B$5:$B$30,MATCH(D37,Listas!$A$5:$A$30,0)),""))</f>
        <v/>
      </c>
      <c r="G37" s="26"/>
      <c r="H37" s="29" t="str">
        <f aca="true">IF(OR(A37="",F37="",G37="Concluído"),"",F37-TODAY())</f>
        <v/>
      </c>
      <c r="I37" s="30" t="str">
        <f aca="false">IF(A37="","",IF(G37="Concluído","✅ Concluído",IF(F37="","⚪ Sem prazo",IF(H37&lt;0,"🔴 COBRAR · "&amp;-H37&amp;" dia(s) atrasado",IF(H37=0,"🟠 Vence HOJE",IF(H37&lt;=3,"🟠 Vence em "&amp;H37&amp;" dia(s)","🟢 No prazo"))))))</f>
        <v/>
      </c>
      <c r="J37" s="27"/>
      <c r="K37" s="26"/>
      <c r="L37" s="30" t="str">
        <f aca="true">IF(OR(A37="",G37="Concluído",F37=""),"",IF(F37&lt;=TODAY()+3,F37+ROW()/1000000,""))</f>
        <v/>
      </c>
    </row>
    <row r="38" customFormat="false" ht="15" hidden="false" customHeight="false" outlineLevel="0" collapsed="false">
      <c r="A38" s="26"/>
      <c r="B38" s="26"/>
      <c r="C38" s="27"/>
      <c r="D38" s="26"/>
      <c r="E38" s="26"/>
      <c r="F38" s="28" t="str">
        <f aca="false">IF(OR(C38="",D38=""),"",IFERROR(C38-INDEX(Listas!$B$5:$B$30,MATCH(D38,Listas!$A$5:$A$30,0)),""))</f>
        <v/>
      </c>
      <c r="G38" s="26"/>
      <c r="H38" s="29" t="str">
        <f aca="true">IF(OR(A38="",F38="",G38="Concluído"),"",F38-TODAY())</f>
        <v/>
      </c>
      <c r="I38" s="30" t="str">
        <f aca="false">IF(A38="","",IF(G38="Concluído","✅ Concluído",IF(F38="","⚪ Sem prazo",IF(H38&lt;0,"🔴 COBRAR · "&amp;-H38&amp;" dia(s) atrasado",IF(H38=0,"🟠 Vence HOJE",IF(H38&lt;=3,"🟠 Vence em "&amp;H38&amp;" dia(s)","🟢 No prazo"))))))</f>
        <v/>
      </c>
      <c r="J38" s="27"/>
      <c r="K38" s="26"/>
      <c r="L38" s="30" t="str">
        <f aca="true">IF(OR(A38="",G38="Concluído",F38=""),"",IF(F38&lt;=TODAY()+3,F38+ROW()/1000000,""))</f>
        <v/>
      </c>
    </row>
    <row r="39" customFormat="false" ht="15" hidden="false" customHeight="false" outlineLevel="0" collapsed="false">
      <c r="A39" s="26"/>
      <c r="B39" s="26"/>
      <c r="C39" s="27"/>
      <c r="D39" s="26"/>
      <c r="E39" s="26"/>
      <c r="F39" s="28" t="str">
        <f aca="false">IF(OR(C39="",D39=""),"",IFERROR(C39-INDEX(Listas!$B$5:$B$30,MATCH(D39,Listas!$A$5:$A$30,0)),""))</f>
        <v/>
      </c>
      <c r="G39" s="26"/>
      <c r="H39" s="29" t="str">
        <f aca="true">IF(OR(A39="",F39="",G39="Concluído"),"",F39-TODAY())</f>
        <v/>
      </c>
      <c r="I39" s="30" t="str">
        <f aca="false">IF(A39="","",IF(G39="Concluído","✅ Concluído",IF(F39="","⚪ Sem prazo",IF(H39&lt;0,"🔴 COBRAR · "&amp;-H39&amp;" dia(s) atrasado",IF(H39=0,"🟠 Vence HOJE",IF(H39&lt;=3,"🟠 Vence em "&amp;H39&amp;" dia(s)","🟢 No prazo"))))))</f>
        <v/>
      </c>
      <c r="J39" s="27"/>
      <c r="K39" s="26"/>
      <c r="L39" s="30" t="str">
        <f aca="true">IF(OR(A39="",G39="Concluído",F39=""),"",IF(F39&lt;=TODAY()+3,F39+ROW()/1000000,""))</f>
        <v/>
      </c>
    </row>
    <row r="40" customFormat="false" ht="15" hidden="false" customHeight="false" outlineLevel="0" collapsed="false">
      <c r="A40" s="26"/>
      <c r="B40" s="26"/>
      <c r="C40" s="27"/>
      <c r="D40" s="26"/>
      <c r="E40" s="26"/>
      <c r="F40" s="28" t="str">
        <f aca="false">IF(OR(C40="",D40=""),"",IFERROR(C40-INDEX(Listas!$B$5:$B$30,MATCH(D40,Listas!$A$5:$A$30,0)),""))</f>
        <v/>
      </c>
      <c r="G40" s="26"/>
      <c r="H40" s="29" t="str">
        <f aca="true">IF(OR(A40="",F40="",G40="Concluído"),"",F40-TODAY())</f>
        <v/>
      </c>
      <c r="I40" s="30" t="str">
        <f aca="false">IF(A40="","",IF(G40="Concluído","✅ Concluído",IF(F40="","⚪ Sem prazo",IF(H40&lt;0,"🔴 COBRAR · "&amp;-H40&amp;" dia(s) atrasado",IF(H40=0,"🟠 Vence HOJE",IF(H40&lt;=3,"🟠 Vence em "&amp;H40&amp;" dia(s)","🟢 No prazo"))))))</f>
        <v/>
      </c>
      <c r="J40" s="27"/>
      <c r="K40" s="26"/>
      <c r="L40" s="30" t="str">
        <f aca="true">IF(OR(A40="",G40="Concluído",F40=""),"",IF(F40&lt;=TODAY()+3,F40+ROW()/1000000,""))</f>
        <v/>
      </c>
    </row>
    <row r="41" customFormat="false" ht="15" hidden="false" customHeight="false" outlineLevel="0" collapsed="false">
      <c r="A41" s="26"/>
      <c r="B41" s="26"/>
      <c r="C41" s="27"/>
      <c r="D41" s="26"/>
      <c r="E41" s="26"/>
      <c r="F41" s="28" t="str">
        <f aca="false">IF(OR(C41="",D41=""),"",IFERROR(C41-INDEX(Listas!$B$5:$B$30,MATCH(D41,Listas!$A$5:$A$30,0)),""))</f>
        <v/>
      </c>
      <c r="G41" s="26"/>
      <c r="H41" s="29" t="str">
        <f aca="true">IF(OR(A41="",F41="",G41="Concluído"),"",F41-TODAY())</f>
        <v/>
      </c>
      <c r="I41" s="30" t="str">
        <f aca="false">IF(A41="","",IF(G41="Concluído","✅ Concluído",IF(F41="","⚪ Sem prazo",IF(H41&lt;0,"🔴 COBRAR · "&amp;-H41&amp;" dia(s) atrasado",IF(H41=0,"🟠 Vence HOJE",IF(H41&lt;=3,"🟠 Vence em "&amp;H41&amp;" dia(s)","🟢 No prazo"))))))</f>
        <v/>
      </c>
      <c r="J41" s="27"/>
      <c r="K41" s="26"/>
      <c r="L41" s="30" t="str">
        <f aca="true">IF(OR(A41="",G41="Concluído",F41=""),"",IF(F41&lt;=TODAY()+3,F41+ROW()/1000000,""))</f>
        <v/>
      </c>
    </row>
    <row r="42" customFormat="false" ht="15" hidden="false" customHeight="false" outlineLevel="0" collapsed="false">
      <c r="A42" s="26"/>
      <c r="B42" s="26"/>
      <c r="C42" s="27"/>
      <c r="D42" s="26"/>
      <c r="E42" s="26"/>
      <c r="F42" s="28" t="str">
        <f aca="false">IF(OR(C42="",D42=""),"",IFERROR(C42-INDEX(Listas!$B$5:$B$30,MATCH(D42,Listas!$A$5:$A$30,0)),""))</f>
        <v/>
      </c>
      <c r="G42" s="26"/>
      <c r="H42" s="29" t="str">
        <f aca="true">IF(OR(A42="",F42="",G42="Concluído"),"",F42-TODAY())</f>
        <v/>
      </c>
      <c r="I42" s="30" t="str">
        <f aca="false">IF(A42="","",IF(G42="Concluído","✅ Concluído",IF(F42="","⚪ Sem prazo",IF(H42&lt;0,"🔴 COBRAR · "&amp;-H42&amp;" dia(s) atrasado",IF(H42=0,"🟠 Vence HOJE",IF(H42&lt;=3,"🟠 Vence em "&amp;H42&amp;" dia(s)","🟢 No prazo"))))))</f>
        <v/>
      </c>
      <c r="J42" s="27"/>
      <c r="K42" s="26"/>
      <c r="L42" s="30" t="str">
        <f aca="true">IF(OR(A42="",G42="Concluído",F42=""),"",IF(F42&lt;=TODAY()+3,F42+ROW()/1000000,""))</f>
        <v/>
      </c>
    </row>
    <row r="43" customFormat="false" ht="15" hidden="false" customHeight="false" outlineLevel="0" collapsed="false">
      <c r="A43" s="26"/>
      <c r="B43" s="26"/>
      <c r="C43" s="27"/>
      <c r="D43" s="26"/>
      <c r="E43" s="26"/>
      <c r="F43" s="28" t="str">
        <f aca="false">IF(OR(C43="",D43=""),"",IFERROR(C43-INDEX(Listas!$B$5:$B$30,MATCH(D43,Listas!$A$5:$A$30,0)),""))</f>
        <v/>
      </c>
      <c r="G43" s="26"/>
      <c r="H43" s="29" t="str">
        <f aca="true">IF(OR(A43="",F43="",G43="Concluído"),"",F43-TODAY())</f>
        <v/>
      </c>
      <c r="I43" s="30" t="str">
        <f aca="false">IF(A43="","",IF(G43="Concluído","✅ Concluído",IF(F43="","⚪ Sem prazo",IF(H43&lt;0,"🔴 COBRAR · "&amp;-H43&amp;" dia(s) atrasado",IF(H43=0,"🟠 Vence HOJE",IF(H43&lt;=3,"🟠 Vence em "&amp;H43&amp;" dia(s)","🟢 No prazo"))))))</f>
        <v/>
      </c>
      <c r="J43" s="27"/>
      <c r="K43" s="26"/>
      <c r="L43" s="30" t="str">
        <f aca="true">IF(OR(A43="",G43="Concluído",F43=""),"",IF(F43&lt;=TODAY()+3,F43+ROW()/1000000,""))</f>
        <v/>
      </c>
    </row>
    <row r="44" customFormat="false" ht="15" hidden="false" customHeight="false" outlineLevel="0" collapsed="false">
      <c r="A44" s="26"/>
      <c r="B44" s="26"/>
      <c r="C44" s="27"/>
      <c r="D44" s="26"/>
      <c r="E44" s="26"/>
      <c r="F44" s="28" t="str">
        <f aca="false">IF(OR(C44="",D44=""),"",IFERROR(C44-INDEX(Listas!$B$5:$B$30,MATCH(D44,Listas!$A$5:$A$30,0)),""))</f>
        <v/>
      </c>
      <c r="G44" s="26"/>
      <c r="H44" s="29" t="str">
        <f aca="true">IF(OR(A44="",F44="",G44="Concluído"),"",F44-TODAY())</f>
        <v/>
      </c>
      <c r="I44" s="30" t="str">
        <f aca="false">IF(A44="","",IF(G44="Concluído","✅ Concluído",IF(F44="","⚪ Sem prazo",IF(H44&lt;0,"🔴 COBRAR · "&amp;-H44&amp;" dia(s) atrasado",IF(H44=0,"🟠 Vence HOJE",IF(H44&lt;=3,"🟠 Vence em "&amp;H44&amp;" dia(s)","🟢 No prazo"))))))</f>
        <v/>
      </c>
      <c r="J44" s="27"/>
      <c r="K44" s="26"/>
      <c r="L44" s="30" t="str">
        <f aca="true">IF(OR(A44="",G44="Concluído",F44=""),"",IF(F44&lt;=TODAY()+3,F44+ROW()/1000000,""))</f>
        <v/>
      </c>
    </row>
    <row r="45" customFormat="false" ht="15" hidden="false" customHeight="false" outlineLevel="0" collapsed="false">
      <c r="A45" s="26"/>
      <c r="B45" s="26"/>
      <c r="C45" s="27"/>
      <c r="D45" s="26"/>
      <c r="E45" s="26"/>
      <c r="F45" s="28" t="str">
        <f aca="false">IF(OR(C45="",D45=""),"",IFERROR(C45-INDEX(Listas!$B$5:$B$30,MATCH(D45,Listas!$A$5:$A$30,0)),""))</f>
        <v/>
      </c>
      <c r="G45" s="26"/>
      <c r="H45" s="29" t="str">
        <f aca="true">IF(OR(A45="",F45="",G45="Concluído"),"",F45-TODAY())</f>
        <v/>
      </c>
      <c r="I45" s="30" t="str">
        <f aca="false">IF(A45="","",IF(G45="Concluído","✅ Concluído",IF(F45="","⚪ Sem prazo",IF(H45&lt;0,"🔴 COBRAR · "&amp;-H45&amp;" dia(s) atrasado",IF(H45=0,"🟠 Vence HOJE",IF(H45&lt;=3,"🟠 Vence em "&amp;H45&amp;" dia(s)","🟢 No prazo"))))))</f>
        <v/>
      </c>
      <c r="J45" s="27"/>
      <c r="K45" s="26"/>
      <c r="L45" s="30" t="str">
        <f aca="true">IF(OR(A45="",G45="Concluído",F45=""),"",IF(F45&lt;=TODAY()+3,F45+ROW()/1000000,""))</f>
        <v/>
      </c>
    </row>
    <row r="46" customFormat="false" ht="15" hidden="false" customHeight="false" outlineLevel="0" collapsed="false">
      <c r="A46" s="26"/>
      <c r="B46" s="26"/>
      <c r="C46" s="27"/>
      <c r="D46" s="26"/>
      <c r="E46" s="26"/>
      <c r="F46" s="28" t="str">
        <f aca="false">IF(OR(C46="",D46=""),"",IFERROR(C46-INDEX(Listas!$B$5:$B$30,MATCH(D46,Listas!$A$5:$A$30,0)),""))</f>
        <v/>
      </c>
      <c r="G46" s="26"/>
      <c r="H46" s="29" t="str">
        <f aca="true">IF(OR(A46="",F46="",G46="Concluído"),"",F46-TODAY())</f>
        <v/>
      </c>
      <c r="I46" s="30" t="str">
        <f aca="false">IF(A46="","",IF(G46="Concluído","✅ Concluído",IF(F46="","⚪ Sem prazo",IF(H46&lt;0,"🔴 COBRAR · "&amp;-H46&amp;" dia(s) atrasado",IF(H46=0,"🟠 Vence HOJE",IF(H46&lt;=3,"🟠 Vence em "&amp;H46&amp;" dia(s)","🟢 No prazo"))))))</f>
        <v/>
      </c>
      <c r="J46" s="27"/>
      <c r="K46" s="26"/>
      <c r="L46" s="30" t="str">
        <f aca="true">IF(OR(A46="",G46="Concluído",F46=""),"",IF(F46&lt;=TODAY()+3,F46+ROW()/1000000,""))</f>
        <v/>
      </c>
    </row>
    <row r="47" customFormat="false" ht="15" hidden="false" customHeight="false" outlineLevel="0" collapsed="false">
      <c r="A47" s="26"/>
      <c r="B47" s="26"/>
      <c r="C47" s="27"/>
      <c r="D47" s="26"/>
      <c r="E47" s="26"/>
      <c r="F47" s="28" t="str">
        <f aca="false">IF(OR(C47="",D47=""),"",IFERROR(C47-INDEX(Listas!$B$5:$B$30,MATCH(D47,Listas!$A$5:$A$30,0)),""))</f>
        <v/>
      </c>
      <c r="G47" s="26"/>
      <c r="H47" s="29" t="str">
        <f aca="true">IF(OR(A47="",F47="",G47="Concluído"),"",F47-TODAY())</f>
        <v/>
      </c>
      <c r="I47" s="30" t="str">
        <f aca="false">IF(A47="","",IF(G47="Concluído","✅ Concluído",IF(F47="","⚪ Sem prazo",IF(H47&lt;0,"🔴 COBRAR · "&amp;-H47&amp;" dia(s) atrasado",IF(H47=0,"🟠 Vence HOJE",IF(H47&lt;=3,"🟠 Vence em "&amp;H47&amp;" dia(s)","🟢 No prazo"))))))</f>
        <v/>
      </c>
      <c r="J47" s="27"/>
      <c r="K47" s="26"/>
      <c r="L47" s="30" t="str">
        <f aca="true">IF(OR(A47="",G47="Concluído",F47=""),"",IF(F47&lt;=TODAY()+3,F47+ROW()/1000000,""))</f>
        <v/>
      </c>
    </row>
    <row r="48" customFormat="false" ht="15" hidden="false" customHeight="false" outlineLevel="0" collapsed="false">
      <c r="A48" s="26"/>
      <c r="B48" s="26"/>
      <c r="C48" s="27"/>
      <c r="D48" s="26"/>
      <c r="E48" s="26"/>
      <c r="F48" s="28" t="str">
        <f aca="false">IF(OR(C48="",D48=""),"",IFERROR(C48-INDEX(Listas!$B$5:$B$30,MATCH(D48,Listas!$A$5:$A$30,0)),""))</f>
        <v/>
      </c>
      <c r="G48" s="26"/>
      <c r="H48" s="29" t="str">
        <f aca="true">IF(OR(A48="",F48="",G48="Concluído"),"",F48-TODAY())</f>
        <v/>
      </c>
      <c r="I48" s="30" t="str">
        <f aca="false">IF(A48="","",IF(G48="Concluído","✅ Concluído",IF(F48="","⚪ Sem prazo",IF(H48&lt;0,"🔴 COBRAR · "&amp;-H48&amp;" dia(s) atrasado",IF(H48=0,"🟠 Vence HOJE",IF(H48&lt;=3,"🟠 Vence em "&amp;H48&amp;" dia(s)","🟢 No prazo"))))))</f>
        <v/>
      </c>
      <c r="J48" s="27"/>
      <c r="K48" s="26"/>
      <c r="L48" s="30" t="str">
        <f aca="true">IF(OR(A48="",G48="Concluído",F48=""),"",IF(F48&lt;=TODAY()+3,F48+ROW()/1000000,""))</f>
        <v/>
      </c>
    </row>
    <row r="49" customFormat="false" ht="15" hidden="false" customHeight="false" outlineLevel="0" collapsed="false">
      <c r="A49" s="26"/>
      <c r="B49" s="26"/>
      <c r="C49" s="27"/>
      <c r="D49" s="26"/>
      <c r="E49" s="26"/>
      <c r="F49" s="28" t="str">
        <f aca="false">IF(OR(C49="",D49=""),"",IFERROR(C49-INDEX(Listas!$B$5:$B$30,MATCH(D49,Listas!$A$5:$A$30,0)),""))</f>
        <v/>
      </c>
      <c r="G49" s="26"/>
      <c r="H49" s="29" t="str">
        <f aca="true">IF(OR(A49="",F49="",G49="Concluído"),"",F49-TODAY())</f>
        <v/>
      </c>
      <c r="I49" s="30" t="str">
        <f aca="false">IF(A49="","",IF(G49="Concluído","✅ Concluído",IF(F49="","⚪ Sem prazo",IF(H49&lt;0,"🔴 COBRAR · "&amp;-H49&amp;" dia(s) atrasado",IF(H49=0,"🟠 Vence HOJE",IF(H49&lt;=3,"🟠 Vence em "&amp;H49&amp;" dia(s)","🟢 No prazo"))))))</f>
        <v/>
      </c>
      <c r="J49" s="27"/>
      <c r="K49" s="26"/>
      <c r="L49" s="30" t="str">
        <f aca="true">IF(OR(A49="",G49="Concluído",F49=""),"",IF(F49&lt;=TODAY()+3,F49+ROW()/1000000,""))</f>
        <v/>
      </c>
    </row>
    <row r="50" customFormat="false" ht="15" hidden="false" customHeight="false" outlineLevel="0" collapsed="false">
      <c r="A50" s="26"/>
      <c r="B50" s="26"/>
      <c r="C50" s="27"/>
      <c r="D50" s="26"/>
      <c r="E50" s="26"/>
      <c r="F50" s="28" t="str">
        <f aca="false">IF(OR(C50="",D50=""),"",IFERROR(C50-INDEX(Listas!$B$5:$B$30,MATCH(D50,Listas!$A$5:$A$30,0)),""))</f>
        <v/>
      </c>
      <c r="G50" s="26"/>
      <c r="H50" s="29" t="str">
        <f aca="true">IF(OR(A50="",F50="",G50="Concluído"),"",F50-TODAY())</f>
        <v/>
      </c>
      <c r="I50" s="30" t="str">
        <f aca="false">IF(A50="","",IF(G50="Concluído","✅ Concluído",IF(F50="","⚪ Sem prazo",IF(H50&lt;0,"🔴 COBRAR · "&amp;-H50&amp;" dia(s) atrasado",IF(H50=0,"🟠 Vence HOJE",IF(H50&lt;=3,"🟠 Vence em "&amp;H50&amp;" dia(s)","🟢 No prazo"))))))</f>
        <v/>
      </c>
      <c r="J50" s="27"/>
      <c r="K50" s="26"/>
      <c r="L50" s="30" t="str">
        <f aca="true">IF(OR(A50="",G50="Concluído",F50=""),"",IF(F50&lt;=TODAY()+3,F50+ROW()/1000000,""))</f>
        <v/>
      </c>
    </row>
    <row r="51" customFormat="false" ht="15" hidden="false" customHeight="false" outlineLevel="0" collapsed="false">
      <c r="A51" s="26"/>
      <c r="B51" s="26"/>
      <c r="C51" s="27"/>
      <c r="D51" s="26"/>
      <c r="E51" s="26"/>
      <c r="F51" s="28" t="str">
        <f aca="false">IF(OR(C51="",D51=""),"",IFERROR(C51-INDEX(Listas!$B$5:$B$30,MATCH(D51,Listas!$A$5:$A$30,0)),""))</f>
        <v/>
      </c>
      <c r="G51" s="26"/>
      <c r="H51" s="29" t="str">
        <f aca="true">IF(OR(A51="",F51="",G51="Concluído"),"",F51-TODAY())</f>
        <v/>
      </c>
      <c r="I51" s="30" t="str">
        <f aca="false">IF(A51="","",IF(G51="Concluído","✅ Concluído",IF(F51="","⚪ Sem prazo",IF(H51&lt;0,"🔴 COBRAR · "&amp;-H51&amp;" dia(s) atrasado",IF(H51=0,"🟠 Vence HOJE",IF(H51&lt;=3,"🟠 Vence em "&amp;H51&amp;" dia(s)","🟢 No prazo"))))))</f>
        <v/>
      </c>
      <c r="J51" s="27"/>
      <c r="K51" s="26"/>
      <c r="L51" s="30" t="str">
        <f aca="true">IF(OR(A51="",G51="Concluído",F51=""),"",IF(F51&lt;=TODAY()+3,F51+ROW()/1000000,""))</f>
        <v/>
      </c>
    </row>
    <row r="52" customFormat="false" ht="15" hidden="false" customHeight="false" outlineLevel="0" collapsed="false">
      <c r="A52" s="26"/>
      <c r="B52" s="26"/>
      <c r="C52" s="27"/>
      <c r="D52" s="26"/>
      <c r="E52" s="26"/>
      <c r="F52" s="28" t="str">
        <f aca="false">IF(OR(C52="",D52=""),"",IFERROR(C52-INDEX(Listas!$B$5:$B$30,MATCH(D52,Listas!$A$5:$A$30,0)),""))</f>
        <v/>
      </c>
      <c r="G52" s="26"/>
      <c r="H52" s="29" t="str">
        <f aca="true">IF(OR(A52="",F52="",G52="Concluído"),"",F52-TODAY())</f>
        <v/>
      </c>
      <c r="I52" s="30" t="str">
        <f aca="false">IF(A52="","",IF(G52="Concluído","✅ Concluído",IF(F52="","⚪ Sem prazo",IF(H52&lt;0,"🔴 COBRAR · "&amp;-H52&amp;" dia(s) atrasado",IF(H52=0,"🟠 Vence HOJE",IF(H52&lt;=3,"🟠 Vence em "&amp;H52&amp;" dia(s)","🟢 No prazo"))))))</f>
        <v/>
      </c>
      <c r="J52" s="27"/>
      <c r="K52" s="26"/>
      <c r="L52" s="30" t="str">
        <f aca="true">IF(OR(A52="",G52="Concluído",F52=""),"",IF(F52&lt;=TODAY()+3,F52+ROW()/1000000,""))</f>
        <v/>
      </c>
    </row>
    <row r="53" customFormat="false" ht="15" hidden="false" customHeight="false" outlineLevel="0" collapsed="false">
      <c r="A53" s="26"/>
      <c r="B53" s="26"/>
      <c r="C53" s="27"/>
      <c r="D53" s="26"/>
      <c r="E53" s="26"/>
      <c r="F53" s="28" t="str">
        <f aca="false">IF(OR(C53="",D53=""),"",IFERROR(C53-INDEX(Listas!$B$5:$B$30,MATCH(D53,Listas!$A$5:$A$30,0)),""))</f>
        <v/>
      </c>
      <c r="G53" s="26"/>
      <c r="H53" s="29" t="str">
        <f aca="true">IF(OR(A53="",F53="",G53="Concluído"),"",F53-TODAY())</f>
        <v/>
      </c>
      <c r="I53" s="30" t="str">
        <f aca="false">IF(A53="","",IF(G53="Concluído","✅ Concluído",IF(F53="","⚪ Sem prazo",IF(H53&lt;0,"🔴 COBRAR · "&amp;-H53&amp;" dia(s) atrasado",IF(H53=0,"🟠 Vence HOJE",IF(H53&lt;=3,"🟠 Vence em "&amp;H53&amp;" dia(s)","🟢 No prazo"))))))</f>
        <v/>
      </c>
      <c r="J53" s="27"/>
      <c r="K53" s="26"/>
      <c r="L53" s="30" t="str">
        <f aca="true">IF(OR(A53="",G53="Concluído",F53=""),"",IF(F53&lt;=TODAY()+3,F53+ROW()/1000000,""))</f>
        <v/>
      </c>
    </row>
    <row r="54" customFormat="false" ht="15" hidden="false" customHeight="false" outlineLevel="0" collapsed="false">
      <c r="A54" s="26"/>
      <c r="B54" s="26"/>
      <c r="C54" s="27"/>
      <c r="D54" s="26"/>
      <c r="E54" s="26"/>
      <c r="F54" s="28" t="str">
        <f aca="false">IF(OR(C54="",D54=""),"",IFERROR(C54-INDEX(Listas!$B$5:$B$30,MATCH(D54,Listas!$A$5:$A$30,0)),""))</f>
        <v/>
      </c>
      <c r="G54" s="26"/>
      <c r="H54" s="29" t="str">
        <f aca="true">IF(OR(A54="",F54="",G54="Concluído"),"",F54-TODAY())</f>
        <v/>
      </c>
      <c r="I54" s="30" t="str">
        <f aca="false">IF(A54="","",IF(G54="Concluído","✅ Concluído",IF(F54="","⚪ Sem prazo",IF(H54&lt;0,"🔴 COBRAR · "&amp;-H54&amp;" dia(s) atrasado",IF(H54=0,"🟠 Vence HOJE",IF(H54&lt;=3,"🟠 Vence em "&amp;H54&amp;" dia(s)","🟢 No prazo"))))))</f>
        <v/>
      </c>
      <c r="J54" s="27"/>
      <c r="K54" s="26"/>
      <c r="L54" s="30" t="str">
        <f aca="true">IF(OR(A54="",G54="Concluído",F54=""),"",IF(F54&lt;=TODAY()+3,F54+ROW()/1000000,""))</f>
        <v/>
      </c>
    </row>
    <row r="55" customFormat="false" ht="15" hidden="false" customHeight="false" outlineLevel="0" collapsed="false">
      <c r="A55" s="26"/>
      <c r="B55" s="26"/>
      <c r="C55" s="27"/>
      <c r="D55" s="26"/>
      <c r="E55" s="26"/>
      <c r="F55" s="28" t="str">
        <f aca="false">IF(OR(C55="",D55=""),"",IFERROR(C55-INDEX(Listas!$B$5:$B$30,MATCH(D55,Listas!$A$5:$A$30,0)),""))</f>
        <v/>
      </c>
      <c r="G55" s="26"/>
      <c r="H55" s="29" t="str">
        <f aca="true">IF(OR(A55="",F55="",G55="Concluído"),"",F55-TODAY())</f>
        <v/>
      </c>
      <c r="I55" s="30" t="str">
        <f aca="false">IF(A55="","",IF(G55="Concluído","✅ Concluído",IF(F55="","⚪ Sem prazo",IF(H55&lt;0,"🔴 COBRAR · "&amp;-H55&amp;" dia(s) atrasado",IF(H55=0,"🟠 Vence HOJE",IF(H55&lt;=3,"🟠 Vence em "&amp;H55&amp;" dia(s)","🟢 No prazo"))))))</f>
        <v/>
      </c>
      <c r="J55" s="27"/>
      <c r="K55" s="26"/>
      <c r="L55" s="30" t="str">
        <f aca="true">IF(OR(A55="",G55="Concluído",F55=""),"",IF(F55&lt;=TODAY()+3,F55+ROW()/1000000,""))</f>
        <v/>
      </c>
    </row>
    <row r="56" customFormat="false" ht="15" hidden="false" customHeight="false" outlineLevel="0" collapsed="false">
      <c r="A56" s="26"/>
      <c r="B56" s="26"/>
      <c r="C56" s="27"/>
      <c r="D56" s="26"/>
      <c r="E56" s="26"/>
      <c r="F56" s="28" t="str">
        <f aca="false">IF(OR(C56="",D56=""),"",IFERROR(C56-INDEX(Listas!$B$5:$B$30,MATCH(D56,Listas!$A$5:$A$30,0)),""))</f>
        <v/>
      </c>
      <c r="G56" s="26"/>
      <c r="H56" s="29" t="str">
        <f aca="true">IF(OR(A56="",F56="",G56="Concluído"),"",F56-TODAY())</f>
        <v/>
      </c>
      <c r="I56" s="30" t="str">
        <f aca="false">IF(A56="","",IF(G56="Concluído","✅ Concluído",IF(F56="","⚪ Sem prazo",IF(H56&lt;0,"🔴 COBRAR · "&amp;-H56&amp;" dia(s) atrasado",IF(H56=0,"🟠 Vence HOJE",IF(H56&lt;=3,"🟠 Vence em "&amp;H56&amp;" dia(s)","🟢 No prazo"))))))</f>
        <v/>
      </c>
      <c r="J56" s="27"/>
      <c r="K56" s="26"/>
      <c r="L56" s="30" t="str">
        <f aca="true">IF(OR(A56="",G56="Concluído",F56=""),"",IF(F56&lt;=TODAY()+3,F56+ROW()/1000000,""))</f>
        <v/>
      </c>
    </row>
    <row r="57" customFormat="false" ht="15" hidden="false" customHeight="false" outlineLevel="0" collapsed="false">
      <c r="A57" s="26"/>
      <c r="B57" s="26"/>
      <c r="C57" s="27"/>
      <c r="D57" s="26"/>
      <c r="E57" s="26"/>
      <c r="F57" s="28" t="str">
        <f aca="false">IF(OR(C57="",D57=""),"",IFERROR(C57-INDEX(Listas!$B$5:$B$30,MATCH(D57,Listas!$A$5:$A$30,0)),""))</f>
        <v/>
      </c>
      <c r="G57" s="26"/>
      <c r="H57" s="29" t="str">
        <f aca="true">IF(OR(A57="",F57="",G57="Concluído"),"",F57-TODAY())</f>
        <v/>
      </c>
      <c r="I57" s="30" t="str">
        <f aca="false">IF(A57="","",IF(G57="Concluído","✅ Concluído",IF(F57="","⚪ Sem prazo",IF(H57&lt;0,"🔴 COBRAR · "&amp;-H57&amp;" dia(s) atrasado",IF(H57=0,"🟠 Vence HOJE",IF(H57&lt;=3,"🟠 Vence em "&amp;H57&amp;" dia(s)","🟢 No prazo"))))))</f>
        <v/>
      </c>
      <c r="J57" s="27"/>
      <c r="K57" s="26"/>
      <c r="L57" s="30" t="str">
        <f aca="true">IF(OR(A57="",G57="Concluído",F57=""),"",IF(F57&lt;=TODAY()+3,F57+ROW()/1000000,""))</f>
        <v/>
      </c>
    </row>
    <row r="58" customFormat="false" ht="15" hidden="false" customHeight="false" outlineLevel="0" collapsed="false">
      <c r="A58" s="26"/>
      <c r="B58" s="26"/>
      <c r="C58" s="27"/>
      <c r="D58" s="26"/>
      <c r="E58" s="26"/>
      <c r="F58" s="28" t="str">
        <f aca="false">IF(OR(C58="",D58=""),"",IFERROR(C58-INDEX(Listas!$B$5:$B$30,MATCH(D58,Listas!$A$5:$A$30,0)),""))</f>
        <v/>
      </c>
      <c r="G58" s="26"/>
      <c r="H58" s="29" t="str">
        <f aca="true">IF(OR(A58="",F58="",G58="Concluído"),"",F58-TODAY())</f>
        <v/>
      </c>
      <c r="I58" s="30" t="str">
        <f aca="false">IF(A58="","",IF(G58="Concluído","✅ Concluído",IF(F58="","⚪ Sem prazo",IF(H58&lt;0,"🔴 COBRAR · "&amp;-H58&amp;" dia(s) atrasado",IF(H58=0,"🟠 Vence HOJE",IF(H58&lt;=3,"🟠 Vence em "&amp;H58&amp;" dia(s)","🟢 No prazo"))))))</f>
        <v/>
      </c>
      <c r="J58" s="27"/>
      <c r="K58" s="26"/>
      <c r="L58" s="30" t="str">
        <f aca="true">IF(OR(A58="",G58="Concluído",F58=""),"",IF(F58&lt;=TODAY()+3,F58+ROW()/1000000,""))</f>
        <v/>
      </c>
    </row>
    <row r="59" customFormat="false" ht="15" hidden="false" customHeight="false" outlineLevel="0" collapsed="false">
      <c r="A59" s="26"/>
      <c r="B59" s="26"/>
      <c r="C59" s="27"/>
      <c r="D59" s="26"/>
      <c r="E59" s="26"/>
      <c r="F59" s="28" t="str">
        <f aca="false">IF(OR(C59="",D59=""),"",IFERROR(C59-INDEX(Listas!$B$5:$B$30,MATCH(D59,Listas!$A$5:$A$30,0)),""))</f>
        <v/>
      </c>
      <c r="G59" s="26"/>
      <c r="H59" s="29" t="str">
        <f aca="true">IF(OR(A59="",F59="",G59="Concluído"),"",F59-TODAY())</f>
        <v/>
      </c>
      <c r="I59" s="30" t="str">
        <f aca="false">IF(A59="","",IF(G59="Concluído","✅ Concluído",IF(F59="","⚪ Sem prazo",IF(H59&lt;0,"🔴 COBRAR · "&amp;-H59&amp;" dia(s) atrasado",IF(H59=0,"🟠 Vence HOJE",IF(H59&lt;=3,"🟠 Vence em "&amp;H59&amp;" dia(s)","🟢 No prazo"))))))</f>
        <v/>
      </c>
      <c r="J59" s="27"/>
      <c r="K59" s="26"/>
      <c r="L59" s="30" t="str">
        <f aca="true">IF(OR(A59="",G59="Concluído",F59=""),"",IF(F59&lt;=TODAY()+3,F59+ROW()/1000000,""))</f>
        <v/>
      </c>
    </row>
    <row r="60" customFormat="false" ht="15" hidden="false" customHeight="false" outlineLevel="0" collapsed="false">
      <c r="A60" s="26"/>
      <c r="B60" s="26"/>
      <c r="C60" s="27"/>
      <c r="D60" s="26"/>
      <c r="E60" s="26"/>
      <c r="F60" s="28" t="str">
        <f aca="false">IF(OR(C60="",D60=""),"",IFERROR(C60-INDEX(Listas!$B$5:$B$30,MATCH(D60,Listas!$A$5:$A$30,0)),""))</f>
        <v/>
      </c>
      <c r="G60" s="26"/>
      <c r="H60" s="29" t="str">
        <f aca="true">IF(OR(A60="",F60="",G60="Concluído"),"",F60-TODAY())</f>
        <v/>
      </c>
      <c r="I60" s="30" t="str">
        <f aca="false">IF(A60="","",IF(G60="Concluído","✅ Concluído",IF(F60="","⚪ Sem prazo",IF(H60&lt;0,"🔴 COBRAR · "&amp;-H60&amp;" dia(s) atrasado",IF(H60=0,"🟠 Vence HOJE",IF(H60&lt;=3,"🟠 Vence em "&amp;H60&amp;" dia(s)","🟢 No prazo"))))))</f>
        <v/>
      </c>
      <c r="J60" s="27"/>
      <c r="K60" s="26"/>
      <c r="L60" s="30" t="str">
        <f aca="true">IF(OR(A60="",G60="Concluído",F60=""),"",IF(F60&lt;=TODAY()+3,F60+ROW()/1000000,""))</f>
        <v/>
      </c>
    </row>
    <row r="61" customFormat="false" ht="15" hidden="false" customHeight="false" outlineLevel="0" collapsed="false">
      <c r="A61" s="26"/>
      <c r="B61" s="26"/>
      <c r="C61" s="27"/>
      <c r="D61" s="26"/>
      <c r="E61" s="26"/>
      <c r="F61" s="28" t="str">
        <f aca="false">IF(OR(C61="",D61=""),"",IFERROR(C61-INDEX(Listas!$B$5:$B$30,MATCH(D61,Listas!$A$5:$A$30,0)),""))</f>
        <v/>
      </c>
      <c r="G61" s="26"/>
      <c r="H61" s="29" t="str">
        <f aca="true">IF(OR(A61="",F61="",G61="Concluído"),"",F61-TODAY())</f>
        <v/>
      </c>
      <c r="I61" s="30" t="str">
        <f aca="false">IF(A61="","",IF(G61="Concluído","✅ Concluído",IF(F61="","⚪ Sem prazo",IF(H61&lt;0,"🔴 COBRAR · "&amp;-H61&amp;" dia(s) atrasado",IF(H61=0,"🟠 Vence HOJE",IF(H61&lt;=3,"🟠 Vence em "&amp;H61&amp;" dia(s)","🟢 No prazo"))))))</f>
        <v/>
      </c>
      <c r="J61" s="27"/>
      <c r="K61" s="26"/>
      <c r="L61" s="30" t="str">
        <f aca="true">IF(OR(A61="",G61="Concluído",F61=""),"",IF(F61&lt;=TODAY()+3,F61+ROW()/1000000,""))</f>
        <v/>
      </c>
    </row>
    <row r="62" customFormat="false" ht="15" hidden="false" customHeight="false" outlineLevel="0" collapsed="false">
      <c r="A62" s="26"/>
      <c r="B62" s="26"/>
      <c r="C62" s="27"/>
      <c r="D62" s="26"/>
      <c r="E62" s="26"/>
      <c r="F62" s="28" t="str">
        <f aca="false">IF(OR(C62="",D62=""),"",IFERROR(C62-INDEX(Listas!$B$5:$B$30,MATCH(D62,Listas!$A$5:$A$30,0)),""))</f>
        <v/>
      </c>
      <c r="G62" s="26"/>
      <c r="H62" s="29" t="str">
        <f aca="true">IF(OR(A62="",F62="",G62="Concluído"),"",F62-TODAY())</f>
        <v/>
      </c>
      <c r="I62" s="30" t="str">
        <f aca="false">IF(A62="","",IF(G62="Concluído","✅ Concluído",IF(F62="","⚪ Sem prazo",IF(H62&lt;0,"🔴 COBRAR · "&amp;-H62&amp;" dia(s) atrasado",IF(H62=0,"🟠 Vence HOJE",IF(H62&lt;=3,"🟠 Vence em "&amp;H62&amp;" dia(s)","🟢 No prazo"))))))</f>
        <v/>
      </c>
      <c r="J62" s="27"/>
      <c r="K62" s="26"/>
      <c r="L62" s="30" t="str">
        <f aca="true">IF(OR(A62="",G62="Concluído",F62=""),"",IF(F62&lt;=TODAY()+3,F62+ROW()/1000000,""))</f>
        <v/>
      </c>
    </row>
    <row r="63" customFormat="false" ht="15" hidden="false" customHeight="false" outlineLevel="0" collapsed="false">
      <c r="A63" s="26"/>
      <c r="B63" s="26"/>
      <c r="C63" s="27"/>
      <c r="D63" s="26"/>
      <c r="E63" s="26"/>
      <c r="F63" s="28" t="str">
        <f aca="false">IF(OR(C63="",D63=""),"",IFERROR(C63-INDEX(Listas!$B$5:$B$30,MATCH(D63,Listas!$A$5:$A$30,0)),""))</f>
        <v/>
      </c>
      <c r="G63" s="26"/>
      <c r="H63" s="29" t="str">
        <f aca="true">IF(OR(A63="",F63="",G63="Concluído"),"",F63-TODAY())</f>
        <v/>
      </c>
      <c r="I63" s="30" t="str">
        <f aca="false">IF(A63="","",IF(G63="Concluído","✅ Concluído",IF(F63="","⚪ Sem prazo",IF(H63&lt;0,"🔴 COBRAR · "&amp;-H63&amp;" dia(s) atrasado",IF(H63=0,"🟠 Vence HOJE",IF(H63&lt;=3,"🟠 Vence em "&amp;H63&amp;" dia(s)","🟢 No prazo"))))))</f>
        <v/>
      </c>
      <c r="J63" s="27"/>
      <c r="K63" s="26"/>
      <c r="L63" s="30" t="str">
        <f aca="true">IF(OR(A63="",G63="Concluído",F63=""),"",IF(F63&lt;=TODAY()+3,F63+ROW()/1000000,""))</f>
        <v/>
      </c>
    </row>
    <row r="64" customFormat="false" ht="15" hidden="false" customHeight="false" outlineLevel="0" collapsed="false">
      <c r="A64" s="26"/>
      <c r="B64" s="26"/>
      <c r="C64" s="27"/>
      <c r="D64" s="26"/>
      <c r="E64" s="26"/>
      <c r="F64" s="28" t="str">
        <f aca="false">IF(OR(C64="",D64=""),"",IFERROR(C64-INDEX(Listas!$B$5:$B$30,MATCH(D64,Listas!$A$5:$A$30,0)),""))</f>
        <v/>
      </c>
      <c r="G64" s="26"/>
      <c r="H64" s="29" t="str">
        <f aca="true">IF(OR(A64="",F64="",G64="Concluído"),"",F64-TODAY())</f>
        <v/>
      </c>
      <c r="I64" s="30" t="str">
        <f aca="false">IF(A64="","",IF(G64="Concluído","✅ Concluído",IF(F64="","⚪ Sem prazo",IF(H64&lt;0,"🔴 COBRAR · "&amp;-H64&amp;" dia(s) atrasado",IF(H64=0,"🟠 Vence HOJE",IF(H64&lt;=3,"🟠 Vence em "&amp;H64&amp;" dia(s)","🟢 No prazo"))))))</f>
        <v/>
      </c>
      <c r="J64" s="27"/>
      <c r="K64" s="26"/>
      <c r="L64" s="30" t="str">
        <f aca="true">IF(OR(A64="",G64="Concluído",F64=""),"",IF(F64&lt;=TODAY()+3,F64+ROW()/1000000,""))</f>
        <v/>
      </c>
    </row>
    <row r="65" customFormat="false" ht="15" hidden="false" customHeight="false" outlineLevel="0" collapsed="false">
      <c r="A65" s="26"/>
      <c r="B65" s="26"/>
      <c r="C65" s="27"/>
      <c r="D65" s="26"/>
      <c r="E65" s="26"/>
      <c r="F65" s="28" t="str">
        <f aca="false">IF(OR(C65="",D65=""),"",IFERROR(C65-INDEX(Listas!$B$5:$B$30,MATCH(D65,Listas!$A$5:$A$30,0)),""))</f>
        <v/>
      </c>
      <c r="G65" s="26"/>
      <c r="H65" s="29" t="str">
        <f aca="true">IF(OR(A65="",F65="",G65="Concluído"),"",F65-TODAY())</f>
        <v/>
      </c>
      <c r="I65" s="30" t="str">
        <f aca="false">IF(A65="","",IF(G65="Concluído","✅ Concluído",IF(F65="","⚪ Sem prazo",IF(H65&lt;0,"🔴 COBRAR · "&amp;-H65&amp;" dia(s) atrasado",IF(H65=0,"🟠 Vence HOJE",IF(H65&lt;=3,"🟠 Vence em "&amp;H65&amp;" dia(s)","🟢 No prazo"))))))</f>
        <v/>
      </c>
      <c r="J65" s="27"/>
      <c r="K65" s="26"/>
      <c r="L65" s="30" t="str">
        <f aca="true">IF(OR(A65="",G65="Concluído",F65=""),"",IF(F65&lt;=TODAY()+3,F65+ROW()/1000000,""))</f>
        <v/>
      </c>
    </row>
    <row r="66" customFormat="false" ht="15" hidden="false" customHeight="false" outlineLevel="0" collapsed="false">
      <c r="A66" s="26"/>
      <c r="B66" s="26"/>
      <c r="C66" s="27"/>
      <c r="D66" s="26"/>
      <c r="E66" s="26"/>
      <c r="F66" s="28" t="str">
        <f aca="false">IF(OR(C66="",D66=""),"",IFERROR(C66-INDEX(Listas!$B$5:$B$30,MATCH(D66,Listas!$A$5:$A$30,0)),""))</f>
        <v/>
      </c>
      <c r="G66" s="26"/>
      <c r="H66" s="29" t="str">
        <f aca="true">IF(OR(A66="",F66="",G66="Concluído"),"",F66-TODAY())</f>
        <v/>
      </c>
      <c r="I66" s="30" t="str">
        <f aca="false">IF(A66="","",IF(G66="Concluído","✅ Concluído",IF(F66="","⚪ Sem prazo",IF(H66&lt;0,"🔴 COBRAR · "&amp;-H66&amp;" dia(s) atrasado",IF(H66=0,"🟠 Vence HOJE",IF(H66&lt;=3,"🟠 Vence em "&amp;H66&amp;" dia(s)","🟢 No prazo"))))))</f>
        <v/>
      </c>
      <c r="J66" s="27"/>
      <c r="K66" s="26"/>
      <c r="L66" s="30" t="str">
        <f aca="true">IF(OR(A66="",G66="Concluído",F66=""),"",IF(F66&lt;=TODAY()+3,F66+ROW()/1000000,""))</f>
        <v/>
      </c>
    </row>
    <row r="67" customFormat="false" ht="15" hidden="false" customHeight="false" outlineLevel="0" collapsed="false">
      <c r="A67" s="26"/>
      <c r="B67" s="26"/>
      <c r="C67" s="27"/>
      <c r="D67" s="26"/>
      <c r="E67" s="26"/>
      <c r="F67" s="28" t="str">
        <f aca="false">IF(OR(C67="",D67=""),"",IFERROR(C67-INDEX(Listas!$B$5:$B$30,MATCH(D67,Listas!$A$5:$A$30,0)),""))</f>
        <v/>
      </c>
      <c r="G67" s="26"/>
      <c r="H67" s="29" t="str">
        <f aca="true">IF(OR(A67="",F67="",G67="Concluído"),"",F67-TODAY())</f>
        <v/>
      </c>
      <c r="I67" s="30" t="str">
        <f aca="false">IF(A67="","",IF(G67="Concluído","✅ Concluído",IF(F67="","⚪ Sem prazo",IF(H67&lt;0,"🔴 COBRAR · "&amp;-H67&amp;" dia(s) atrasado",IF(H67=0,"🟠 Vence HOJE",IF(H67&lt;=3,"🟠 Vence em "&amp;H67&amp;" dia(s)","🟢 No prazo"))))))</f>
        <v/>
      </c>
      <c r="J67" s="27"/>
      <c r="K67" s="26"/>
      <c r="L67" s="30" t="str">
        <f aca="true">IF(OR(A67="",G67="Concluído",F67=""),"",IF(F67&lt;=TODAY()+3,F67+ROW()/1000000,""))</f>
        <v/>
      </c>
    </row>
    <row r="68" customFormat="false" ht="15" hidden="false" customHeight="false" outlineLevel="0" collapsed="false">
      <c r="A68" s="26"/>
      <c r="B68" s="26"/>
      <c r="C68" s="27"/>
      <c r="D68" s="26"/>
      <c r="E68" s="26"/>
      <c r="F68" s="28" t="str">
        <f aca="false">IF(OR(C68="",D68=""),"",IFERROR(C68-INDEX(Listas!$B$5:$B$30,MATCH(D68,Listas!$A$5:$A$30,0)),""))</f>
        <v/>
      </c>
      <c r="G68" s="26"/>
      <c r="H68" s="29" t="str">
        <f aca="true">IF(OR(A68="",F68="",G68="Concluído"),"",F68-TODAY())</f>
        <v/>
      </c>
      <c r="I68" s="30" t="str">
        <f aca="false">IF(A68="","",IF(G68="Concluído","✅ Concluído",IF(F68="","⚪ Sem prazo",IF(H68&lt;0,"🔴 COBRAR · "&amp;-H68&amp;" dia(s) atrasado",IF(H68=0,"🟠 Vence HOJE",IF(H68&lt;=3,"🟠 Vence em "&amp;H68&amp;" dia(s)","🟢 No prazo"))))))</f>
        <v/>
      </c>
      <c r="J68" s="27"/>
      <c r="K68" s="26"/>
      <c r="L68" s="30" t="str">
        <f aca="true">IF(OR(A68="",G68="Concluído",F68=""),"",IF(F68&lt;=TODAY()+3,F68+ROW()/1000000,""))</f>
        <v/>
      </c>
    </row>
    <row r="69" customFormat="false" ht="15" hidden="false" customHeight="false" outlineLevel="0" collapsed="false">
      <c r="A69" s="26"/>
      <c r="B69" s="26"/>
      <c r="C69" s="27"/>
      <c r="D69" s="26"/>
      <c r="E69" s="26"/>
      <c r="F69" s="28" t="str">
        <f aca="false">IF(OR(C69="",D69=""),"",IFERROR(C69-INDEX(Listas!$B$5:$B$30,MATCH(D69,Listas!$A$5:$A$30,0)),""))</f>
        <v/>
      </c>
      <c r="G69" s="26"/>
      <c r="H69" s="29" t="str">
        <f aca="true">IF(OR(A69="",F69="",G69="Concluído"),"",F69-TODAY())</f>
        <v/>
      </c>
      <c r="I69" s="30" t="str">
        <f aca="false">IF(A69="","",IF(G69="Concluído","✅ Concluído",IF(F69="","⚪ Sem prazo",IF(H69&lt;0,"🔴 COBRAR · "&amp;-H69&amp;" dia(s) atrasado",IF(H69=0,"🟠 Vence HOJE",IF(H69&lt;=3,"🟠 Vence em "&amp;H69&amp;" dia(s)","🟢 No prazo"))))))</f>
        <v/>
      </c>
      <c r="J69" s="27"/>
      <c r="K69" s="26"/>
      <c r="L69" s="30" t="str">
        <f aca="true">IF(OR(A69="",G69="Concluído",F69=""),"",IF(F69&lt;=TODAY()+3,F69+ROW()/1000000,""))</f>
        <v/>
      </c>
    </row>
    <row r="70" customFormat="false" ht="15" hidden="false" customHeight="false" outlineLevel="0" collapsed="false">
      <c r="A70" s="26"/>
      <c r="B70" s="26"/>
      <c r="C70" s="27"/>
      <c r="D70" s="26"/>
      <c r="E70" s="26"/>
      <c r="F70" s="28" t="str">
        <f aca="false">IF(OR(C70="",D70=""),"",IFERROR(C70-INDEX(Listas!$B$5:$B$30,MATCH(D70,Listas!$A$5:$A$30,0)),""))</f>
        <v/>
      </c>
      <c r="G70" s="26"/>
      <c r="H70" s="29" t="str">
        <f aca="true">IF(OR(A70="",F70="",G70="Concluído"),"",F70-TODAY())</f>
        <v/>
      </c>
      <c r="I70" s="30" t="str">
        <f aca="false">IF(A70="","",IF(G70="Concluído","✅ Concluído",IF(F70="","⚪ Sem prazo",IF(H70&lt;0,"🔴 COBRAR · "&amp;-H70&amp;" dia(s) atrasado",IF(H70=0,"🟠 Vence HOJE",IF(H70&lt;=3,"🟠 Vence em "&amp;H70&amp;" dia(s)","🟢 No prazo"))))))</f>
        <v/>
      </c>
      <c r="J70" s="27"/>
      <c r="K70" s="26"/>
      <c r="L70" s="30" t="str">
        <f aca="true">IF(OR(A70="",G70="Concluído",F70=""),"",IF(F70&lt;=TODAY()+3,F70+ROW()/1000000,""))</f>
        <v/>
      </c>
    </row>
    <row r="71" customFormat="false" ht="15" hidden="false" customHeight="false" outlineLevel="0" collapsed="false">
      <c r="A71" s="26"/>
      <c r="B71" s="26"/>
      <c r="C71" s="27"/>
      <c r="D71" s="26"/>
      <c r="E71" s="26"/>
      <c r="F71" s="28" t="str">
        <f aca="false">IF(OR(C71="",D71=""),"",IFERROR(C71-INDEX(Listas!$B$5:$B$30,MATCH(D71,Listas!$A$5:$A$30,0)),""))</f>
        <v/>
      </c>
      <c r="G71" s="26"/>
      <c r="H71" s="29" t="str">
        <f aca="true">IF(OR(A71="",F71="",G71="Concluído"),"",F71-TODAY())</f>
        <v/>
      </c>
      <c r="I71" s="30" t="str">
        <f aca="false">IF(A71="","",IF(G71="Concluído","✅ Concluído",IF(F71="","⚪ Sem prazo",IF(H71&lt;0,"🔴 COBRAR · "&amp;-H71&amp;" dia(s) atrasado",IF(H71=0,"🟠 Vence HOJE",IF(H71&lt;=3,"🟠 Vence em "&amp;H71&amp;" dia(s)","🟢 No prazo"))))))</f>
        <v/>
      </c>
      <c r="J71" s="27"/>
      <c r="K71" s="26"/>
      <c r="L71" s="30" t="str">
        <f aca="true">IF(OR(A71="",G71="Concluído",F71=""),"",IF(F71&lt;=TODAY()+3,F71+ROW()/1000000,""))</f>
        <v/>
      </c>
    </row>
    <row r="72" customFormat="false" ht="15" hidden="false" customHeight="false" outlineLevel="0" collapsed="false">
      <c r="A72" s="26"/>
      <c r="B72" s="26"/>
      <c r="C72" s="27"/>
      <c r="D72" s="26"/>
      <c r="E72" s="26"/>
      <c r="F72" s="28" t="str">
        <f aca="false">IF(OR(C72="",D72=""),"",IFERROR(C72-INDEX(Listas!$B$5:$B$30,MATCH(D72,Listas!$A$5:$A$30,0)),""))</f>
        <v/>
      </c>
      <c r="G72" s="26"/>
      <c r="H72" s="29" t="str">
        <f aca="true">IF(OR(A72="",F72="",G72="Concluído"),"",F72-TODAY())</f>
        <v/>
      </c>
      <c r="I72" s="30" t="str">
        <f aca="false">IF(A72="","",IF(G72="Concluído","✅ Concluído",IF(F72="","⚪ Sem prazo",IF(H72&lt;0,"🔴 COBRAR · "&amp;-H72&amp;" dia(s) atrasado",IF(H72=0,"🟠 Vence HOJE",IF(H72&lt;=3,"🟠 Vence em "&amp;H72&amp;" dia(s)","🟢 No prazo"))))))</f>
        <v/>
      </c>
      <c r="J72" s="27"/>
      <c r="K72" s="26"/>
      <c r="L72" s="30" t="str">
        <f aca="true">IF(OR(A72="",G72="Concluído",F72=""),"",IF(F72&lt;=TODAY()+3,F72+ROW()/1000000,""))</f>
        <v/>
      </c>
    </row>
    <row r="73" customFormat="false" ht="15" hidden="false" customHeight="false" outlineLevel="0" collapsed="false">
      <c r="A73" s="26"/>
      <c r="B73" s="26"/>
      <c r="C73" s="27"/>
      <c r="D73" s="26"/>
      <c r="E73" s="26"/>
      <c r="F73" s="28" t="str">
        <f aca="false">IF(OR(C73="",D73=""),"",IFERROR(C73-INDEX(Listas!$B$5:$B$30,MATCH(D73,Listas!$A$5:$A$30,0)),""))</f>
        <v/>
      </c>
      <c r="G73" s="26"/>
      <c r="H73" s="29" t="str">
        <f aca="true">IF(OR(A73="",F73="",G73="Concluído"),"",F73-TODAY())</f>
        <v/>
      </c>
      <c r="I73" s="30" t="str">
        <f aca="false">IF(A73="","",IF(G73="Concluído","✅ Concluído",IF(F73="","⚪ Sem prazo",IF(H73&lt;0,"🔴 COBRAR · "&amp;-H73&amp;" dia(s) atrasado",IF(H73=0,"🟠 Vence HOJE",IF(H73&lt;=3,"🟠 Vence em "&amp;H73&amp;" dia(s)","🟢 No prazo"))))))</f>
        <v/>
      </c>
      <c r="J73" s="27"/>
      <c r="K73" s="26"/>
      <c r="L73" s="30" t="str">
        <f aca="true">IF(OR(A73="",G73="Concluído",F73=""),"",IF(F73&lt;=TODAY()+3,F73+ROW()/1000000,""))</f>
        <v/>
      </c>
    </row>
    <row r="74" customFormat="false" ht="15" hidden="false" customHeight="false" outlineLevel="0" collapsed="false">
      <c r="A74" s="26"/>
      <c r="B74" s="26"/>
      <c r="C74" s="27"/>
      <c r="D74" s="26"/>
      <c r="E74" s="26"/>
      <c r="F74" s="28" t="str">
        <f aca="false">IF(OR(C74="",D74=""),"",IFERROR(C74-INDEX(Listas!$B$5:$B$30,MATCH(D74,Listas!$A$5:$A$30,0)),""))</f>
        <v/>
      </c>
      <c r="G74" s="26"/>
      <c r="H74" s="29" t="str">
        <f aca="true">IF(OR(A74="",F74="",G74="Concluído"),"",F74-TODAY())</f>
        <v/>
      </c>
      <c r="I74" s="30" t="str">
        <f aca="false">IF(A74="","",IF(G74="Concluído","✅ Concluído",IF(F74="","⚪ Sem prazo",IF(H74&lt;0,"🔴 COBRAR · "&amp;-H74&amp;" dia(s) atrasado",IF(H74=0,"🟠 Vence HOJE",IF(H74&lt;=3,"🟠 Vence em "&amp;H74&amp;" dia(s)","🟢 No prazo"))))))</f>
        <v/>
      </c>
      <c r="J74" s="27"/>
      <c r="K74" s="26"/>
      <c r="L74" s="30" t="str">
        <f aca="true">IF(OR(A74="",G74="Concluído",F74=""),"",IF(F74&lt;=TODAY()+3,F74+ROW()/1000000,""))</f>
        <v/>
      </c>
    </row>
    <row r="75" customFormat="false" ht="15" hidden="false" customHeight="false" outlineLevel="0" collapsed="false">
      <c r="A75" s="26"/>
      <c r="B75" s="26"/>
      <c r="C75" s="27"/>
      <c r="D75" s="26"/>
      <c r="E75" s="26"/>
      <c r="F75" s="28" t="str">
        <f aca="false">IF(OR(C75="",D75=""),"",IFERROR(C75-INDEX(Listas!$B$5:$B$30,MATCH(D75,Listas!$A$5:$A$30,0)),""))</f>
        <v/>
      </c>
      <c r="G75" s="26"/>
      <c r="H75" s="29" t="str">
        <f aca="true">IF(OR(A75="",F75="",G75="Concluído"),"",F75-TODAY())</f>
        <v/>
      </c>
      <c r="I75" s="30" t="str">
        <f aca="false">IF(A75="","",IF(G75="Concluído","✅ Concluído",IF(F75="","⚪ Sem prazo",IF(H75&lt;0,"🔴 COBRAR · "&amp;-H75&amp;" dia(s) atrasado",IF(H75=0,"🟠 Vence HOJE",IF(H75&lt;=3,"🟠 Vence em "&amp;H75&amp;" dia(s)","🟢 No prazo"))))))</f>
        <v/>
      </c>
      <c r="J75" s="27"/>
      <c r="K75" s="26"/>
      <c r="L75" s="30" t="str">
        <f aca="true">IF(OR(A75="",G75="Concluído",F75=""),"",IF(F75&lt;=TODAY()+3,F75+ROW()/1000000,""))</f>
        <v/>
      </c>
    </row>
    <row r="76" customFormat="false" ht="15" hidden="false" customHeight="false" outlineLevel="0" collapsed="false">
      <c r="A76" s="26"/>
      <c r="B76" s="26"/>
      <c r="C76" s="27"/>
      <c r="D76" s="26"/>
      <c r="E76" s="26"/>
      <c r="F76" s="28" t="str">
        <f aca="false">IF(OR(C76="",D76=""),"",IFERROR(C76-INDEX(Listas!$B$5:$B$30,MATCH(D76,Listas!$A$5:$A$30,0)),""))</f>
        <v/>
      </c>
      <c r="G76" s="26"/>
      <c r="H76" s="29" t="str">
        <f aca="true">IF(OR(A76="",F76="",G76="Concluído"),"",F76-TODAY())</f>
        <v/>
      </c>
      <c r="I76" s="30" t="str">
        <f aca="false">IF(A76="","",IF(G76="Concluído","✅ Concluído",IF(F76="","⚪ Sem prazo",IF(H76&lt;0,"🔴 COBRAR · "&amp;-H76&amp;" dia(s) atrasado",IF(H76=0,"🟠 Vence HOJE",IF(H76&lt;=3,"🟠 Vence em "&amp;H76&amp;" dia(s)","🟢 No prazo"))))))</f>
        <v/>
      </c>
      <c r="J76" s="27"/>
      <c r="K76" s="26"/>
      <c r="L76" s="30" t="str">
        <f aca="true">IF(OR(A76="",G76="Concluído",F76=""),"",IF(F76&lt;=TODAY()+3,F76+ROW()/1000000,""))</f>
        <v/>
      </c>
    </row>
    <row r="77" customFormat="false" ht="15" hidden="false" customHeight="false" outlineLevel="0" collapsed="false">
      <c r="A77" s="26"/>
      <c r="B77" s="26"/>
      <c r="C77" s="27"/>
      <c r="D77" s="26"/>
      <c r="E77" s="26"/>
      <c r="F77" s="28" t="str">
        <f aca="false">IF(OR(C77="",D77=""),"",IFERROR(C77-INDEX(Listas!$B$5:$B$30,MATCH(D77,Listas!$A$5:$A$30,0)),""))</f>
        <v/>
      </c>
      <c r="G77" s="26"/>
      <c r="H77" s="29" t="str">
        <f aca="true">IF(OR(A77="",F77="",G77="Concluído"),"",F77-TODAY())</f>
        <v/>
      </c>
      <c r="I77" s="30" t="str">
        <f aca="false">IF(A77="","",IF(G77="Concluído","✅ Concluído",IF(F77="","⚪ Sem prazo",IF(H77&lt;0,"🔴 COBRAR · "&amp;-H77&amp;" dia(s) atrasado",IF(H77=0,"🟠 Vence HOJE",IF(H77&lt;=3,"🟠 Vence em "&amp;H77&amp;" dia(s)","🟢 No prazo"))))))</f>
        <v/>
      </c>
      <c r="J77" s="27"/>
      <c r="K77" s="26"/>
      <c r="L77" s="30" t="str">
        <f aca="true">IF(OR(A77="",G77="Concluído",F77=""),"",IF(F77&lt;=TODAY()+3,F77+ROW()/1000000,""))</f>
        <v/>
      </c>
    </row>
    <row r="78" customFormat="false" ht="15" hidden="false" customHeight="false" outlineLevel="0" collapsed="false">
      <c r="A78" s="26"/>
      <c r="B78" s="26"/>
      <c r="C78" s="27"/>
      <c r="D78" s="26"/>
      <c r="E78" s="26"/>
      <c r="F78" s="28" t="str">
        <f aca="false">IF(OR(C78="",D78=""),"",IFERROR(C78-INDEX(Listas!$B$5:$B$30,MATCH(D78,Listas!$A$5:$A$30,0)),""))</f>
        <v/>
      </c>
      <c r="G78" s="26"/>
      <c r="H78" s="29" t="str">
        <f aca="true">IF(OR(A78="",F78="",G78="Concluído"),"",F78-TODAY())</f>
        <v/>
      </c>
      <c r="I78" s="30" t="str">
        <f aca="false">IF(A78="","",IF(G78="Concluído","✅ Concluído",IF(F78="","⚪ Sem prazo",IF(H78&lt;0,"🔴 COBRAR · "&amp;-H78&amp;" dia(s) atrasado",IF(H78=0,"🟠 Vence HOJE",IF(H78&lt;=3,"🟠 Vence em "&amp;H78&amp;" dia(s)","🟢 No prazo"))))))</f>
        <v/>
      </c>
      <c r="J78" s="27"/>
      <c r="K78" s="26"/>
      <c r="L78" s="30" t="str">
        <f aca="true">IF(OR(A78="",G78="Concluído",F78=""),"",IF(F78&lt;=TODAY()+3,F78+ROW()/1000000,""))</f>
        <v/>
      </c>
    </row>
    <row r="79" customFormat="false" ht="15" hidden="false" customHeight="false" outlineLevel="0" collapsed="false">
      <c r="A79" s="26"/>
      <c r="B79" s="26"/>
      <c r="C79" s="27"/>
      <c r="D79" s="26"/>
      <c r="E79" s="26"/>
      <c r="F79" s="28" t="str">
        <f aca="false">IF(OR(C79="",D79=""),"",IFERROR(C79-INDEX(Listas!$B$5:$B$30,MATCH(D79,Listas!$A$5:$A$30,0)),""))</f>
        <v/>
      </c>
      <c r="G79" s="26"/>
      <c r="H79" s="29" t="str">
        <f aca="true">IF(OR(A79="",F79="",G79="Concluído"),"",F79-TODAY())</f>
        <v/>
      </c>
      <c r="I79" s="30" t="str">
        <f aca="false">IF(A79="","",IF(G79="Concluído","✅ Concluído",IF(F79="","⚪ Sem prazo",IF(H79&lt;0,"🔴 COBRAR · "&amp;-H79&amp;" dia(s) atrasado",IF(H79=0,"🟠 Vence HOJE",IF(H79&lt;=3,"🟠 Vence em "&amp;H79&amp;" dia(s)","🟢 No prazo"))))))</f>
        <v/>
      </c>
      <c r="J79" s="27"/>
      <c r="K79" s="26"/>
      <c r="L79" s="30" t="str">
        <f aca="true">IF(OR(A79="",G79="Concluído",F79=""),"",IF(F79&lt;=TODAY()+3,F79+ROW()/1000000,""))</f>
        <v/>
      </c>
    </row>
    <row r="80" customFormat="false" ht="15" hidden="false" customHeight="false" outlineLevel="0" collapsed="false">
      <c r="A80" s="26"/>
      <c r="B80" s="26"/>
      <c r="C80" s="27"/>
      <c r="D80" s="26"/>
      <c r="E80" s="26"/>
      <c r="F80" s="28" t="str">
        <f aca="false">IF(OR(C80="",D80=""),"",IFERROR(C80-INDEX(Listas!$B$5:$B$30,MATCH(D80,Listas!$A$5:$A$30,0)),""))</f>
        <v/>
      </c>
      <c r="G80" s="26"/>
      <c r="H80" s="29" t="str">
        <f aca="true">IF(OR(A80="",F80="",G80="Concluído"),"",F80-TODAY())</f>
        <v/>
      </c>
      <c r="I80" s="30" t="str">
        <f aca="false">IF(A80="","",IF(G80="Concluído","✅ Concluído",IF(F80="","⚪ Sem prazo",IF(H80&lt;0,"🔴 COBRAR · "&amp;-H80&amp;" dia(s) atrasado",IF(H80=0,"🟠 Vence HOJE",IF(H80&lt;=3,"🟠 Vence em "&amp;H80&amp;" dia(s)","🟢 No prazo"))))))</f>
        <v/>
      </c>
      <c r="J80" s="27"/>
      <c r="K80" s="26"/>
      <c r="L80" s="30" t="str">
        <f aca="true">IF(OR(A80="",G80="Concluído",F80=""),"",IF(F80&lt;=TODAY()+3,F80+ROW()/1000000,""))</f>
        <v/>
      </c>
    </row>
    <row r="81" customFormat="false" ht="15" hidden="false" customHeight="false" outlineLevel="0" collapsed="false">
      <c r="A81" s="26"/>
      <c r="B81" s="26"/>
      <c r="C81" s="27"/>
      <c r="D81" s="26"/>
      <c r="E81" s="26"/>
      <c r="F81" s="28" t="str">
        <f aca="false">IF(OR(C81="",D81=""),"",IFERROR(C81-INDEX(Listas!$B$5:$B$30,MATCH(D81,Listas!$A$5:$A$30,0)),""))</f>
        <v/>
      </c>
      <c r="G81" s="26"/>
      <c r="H81" s="29" t="str">
        <f aca="true">IF(OR(A81="",F81="",G81="Concluído"),"",F81-TODAY())</f>
        <v/>
      </c>
      <c r="I81" s="30" t="str">
        <f aca="false">IF(A81="","",IF(G81="Concluído","✅ Concluído",IF(F81="","⚪ Sem prazo",IF(H81&lt;0,"🔴 COBRAR · "&amp;-H81&amp;" dia(s) atrasado",IF(H81=0,"🟠 Vence HOJE",IF(H81&lt;=3,"🟠 Vence em "&amp;H81&amp;" dia(s)","🟢 No prazo"))))))</f>
        <v/>
      </c>
      <c r="J81" s="27"/>
      <c r="K81" s="26"/>
      <c r="L81" s="30" t="str">
        <f aca="true">IF(OR(A81="",G81="Concluído",F81=""),"",IF(F81&lt;=TODAY()+3,F81+ROW()/1000000,""))</f>
        <v/>
      </c>
    </row>
    <row r="82" customFormat="false" ht="15" hidden="false" customHeight="false" outlineLevel="0" collapsed="false">
      <c r="A82" s="26"/>
      <c r="B82" s="26"/>
      <c r="C82" s="27"/>
      <c r="D82" s="26"/>
      <c r="E82" s="26"/>
      <c r="F82" s="28" t="str">
        <f aca="false">IF(OR(C82="",D82=""),"",IFERROR(C82-INDEX(Listas!$B$5:$B$30,MATCH(D82,Listas!$A$5:$A$30,0)),""))</f>
        <v/>
      </c>
      <c r="G82" s="26"/>
      <c r="H82" s="29" t="str">
        <f aca="true">IF(OR(A82="",F82="",G82="Concluído"),"",F82-TODAY())</f>
        <v/>
      </c>
      <c r="I82" s="30" t="str">
        <f aca="false">IF(A82="","",IF(G82="Concluído","✅ Concluído",IF(F82="","⚪ Sem prazo",IF(H82&lt;0,"🔴 COBRAR · "&amp;-H82&amp;" dia(s) atrasado",IF(H82=0,"🟠 Vence HOJE",IF(H82&lt;=3,"🟠 Vence em "&amp;H82&amp;" dia(s)","🟢 No prazo"))))))</f>
        <v/>
      </c>
      <c r="J82" s="27"/>
      <c r="K82" s="26"/>
      <c r="L82" s="30" t="str">
        <f aca="true">IF(OR(A82="",G82="Concluído",F82=""),"",IF(F82&lt;=TODAY()+3,F82+ROW()/1000000,""))</f>
        <v/>
      </c>
    </row>
    <row r="83" customFormat="false" ht="15" hidden="false" customHeight="false" outlineLevel="0" collapsed="false">
      <c r="A83" s="26"/>
      <c r="B83" s="26"/>
      <c r="C83" s="27"/>
      <c r="D83" s="26"/>
      <c r="E83" s="26"/>
      <c r="F83" s="28" t="str">
        <f aca="false">IF(OR(C83="",D83=""),"",IFERROR(C83-INDEX(Listas!$B$5:$B$30,MATCH(D83,Listas!$A$5:$A$30,0)),""))</f>
        <v/>
      </c>
      <c r="G83" s="26"/>
      <c r="H83" s="29" t="str">
        <f aca="true">IF(OR(A83="",F83="",G83="Concluído"),"",F83-TODAY())</f>
        <v/>
      </c>
      <c r="I83" s="30" t="str">
        <f aca="false">IF(A83="","",IF(G83="Concluído","✅ Concluído",IF(F83="","⚪ Sem prazo",IF(H83&lt;0,"🔴 COBRAR · "&amp;-H83&amp;" dia(s) atrasado",IF(H83=0,"🟠 Vence HOJE",IF(H83&lt;=3,"🟠 Vence em "&amp;H83&amp;" dia(s)","🟢 No prazo"))))))</f>
        <v/>
      </c>
      <c r="J83" s="27"/>
      <c r="K83" s="26"/>
      <c r="L83" s="30" t="str">
        <f aca="true">IF(OR(A83="",G83="Concluído",F83=""),"",IF(F83&lt;=TODAY()+3,F83+ROW()/1000000,""))</f>
        <v/>
      </c>
    </row>
    <row r="84" customFormat="false" ht="15" hidden="false" customHeight="false" outlineLevel="0" collapsed="false">
      <c r="A84" s="26"/>
      <c r="B84" s="26"/>
      <c r="C84" s="27"/>
      <c r="D84" s="26"/>
      <c r="E84" s="26"/>
      <c r="F84" s="28" t="str">
        <f aca="false">IF(OR(C84="",D84=""),"",IFERROR(C84-INDEX(Listas!$B$5:$B$30,MATCH(D84,Listas!$A$5:$A$30,0)),""))</f>
        <v/>
      </c>
      <c r="G84" s="26"/>
      <c r="H84" s="29" t="str">
        <f aca="true">IF(OR(A84="",F84="",G84="Concluído"),"",F84-TODAY())</f>
        <v/>
      </c>
      <c r="I84" s="30" t="str">
        <f aca="false">IF(A84="","",IF(G84="Concluído","✅ Concluído",IF(F84="","⚪ Sem prazo",IF(H84&lt;0,"🔴 COBRAR · "&amp;-H84&amp;" dia(s) atrasado",IF(H84=0,"🟠 Vence HOJE",IF(H84&lt;=3,"🟠 Vence em "&amp;H84&amp;" dia(s)","🟢 No prazo"))))))</f>
        <v/>
      </c>
      <c r="J84" s="27"/>
      <c r="K84" s="26"/>
      <c r="L84" s="30" t="str">
        <f aca="true">IF(OR(A84="",G84="Concluído",F84=""),"",IF(F84&lt;=TODAY()+3,F84+ROW()/1000000,""))</f>
        <v/>
      </c>
    </row>
    <row r="85" customFormat="false" ht="15" hidden="false" customHeight="false" outlineLevel="0" collapsed="false">
      <c r="A85" s="26"/>
      <c r="B85" s="26"/>
      <c r="C85" s="27"/>
      <c r="D85" s="26"/>
      <c r="E85" s="26"/>
      <c r="F85" s="28" t="str">
        <f aca="false">IF(OR(C85="",D85=""),"",IFERROR(C85-INDEX(Listas!$B$5:$B$30,MATCH(D85,Listas!$A$5:$A$30,0)),""))</f>
        <v/>
      </c>
      <c r="G85" s="26"/>
      <c r="H85" s="29" t="str">
        <f aca="true">IF(OR(A85="",F85="",G85="Concluído"),"",F85-TODAY())</f>
        <v/>
      </c>
      <c r="I85" s="30" t="str">
        <f aca="false">IF(A85="","",IF(G85="Concluído","✅ Concluído",IF(F85="","⚪ Sem prazo",IF(H85&lt;0,"🔴 COBRAR · "&amp;-H85&amp;" dia(s) atrasado",IF(H85=0,"🟠 Vence HOJE",IF(H85&lt;=3,"🟠 Vence em "&amp;H85&amp;" dia(s)","🟢 No prazo"))))))</f>
        <v/>
      </c>
      <c r="J85" s="27"/>
      <c r="K85" s="26"/>
      <c r="L85" s="30" t="str">
        <f aca="true">IF(OR(A85="",G85="Concluído",F85=""),"",IF(F85&lt;=TODAY()+3,F85+ROW()/1000000,""))</f>
        <v/>
      </c>
    </row>
    <row r="86" customFormat="false" ht="15" hidden="false" customHeight="false" outlineLevel="0" collapsed="false">
      <c r="A86" s="26"/>
      <c r="B86" s="26"/>
      <c r="C86" s="27"/>
      <c r="D86" s="26"/>
      <c r="E86" s="26"/>
      <c r="F86" s="28" t="str">
        <f aca="false">IF(OR(C86="",D86=""),"",IFERROR(C86-INDEX(Listas!$B$5:$B$30,MATCH(D86,Listas!$A$5:$A$30,0)),""))</f>
        <v/>
      </c>
      <c r="G86" s="26"/>
      <c r="H86" s="29" t="str">
        <f aca="true">IF(OR(A86="",F86="",G86="Concluído"),"",F86-TODAY())</f>
        <v/>
      </c>
      <c r="I86" s="30" t="str">
        <f aca="false">IF(A86="","",IF(G86="Concluído","✅ Concluído",IF(F86="","⚪ Sem prazo",IF(H86&lt;0,"🔴 COBRAR · "&amp;-H86&amp;" dia(s) atrasado",IF(H86=0,"🟠 Vence HOJE",IF(H86&lt;=3,"🟠 Vence em "&amp;H86&amp;" dia(s)","🟢 No prazo"))))))</f>
        <v/>
      </c>
      <c r="J86" s="27"/>
      <c r="K86" s="26"/>
      <c r="L86" s="30" t="str">
        <f aca="true">IF(OR(A86="",G86="Concluído",F86=""),"",IF(F86&lt;=TODAY()+3,F86+ROW()/1000000,""))</f>
        <v/>
      </c>
    </row>
    <row r="87" customFormat="false" ht="15" hidden="false" customHeight="false" outlineLevel="0" collapsed="false">
      <c r="A87" s="26"/>
      <c r="B87" s="26"/>
      <c r="C87" s="27"/>
      <c r="D87" s="26"/>
      <c r="E87" s="26"/>
      <c r="F87" s="28" t="str">
        <f aca="false">IF(OR(C87="",D87=""),"",IFERROR(C87-INDEX(Listas!$B$5:$B$30,MATCH(D87,Listas!$A$5:$A$30,0)),""))</f>
        <v/>
      </c>
      <c r="G87" s="26"/>
      <c r="H87" s="29" t="str">
        <f aca="true">IF(OR(A87="",F87="",G87="Concluído"),"",F87-TODAY())</f>
        <v/>
      </c>
      <c r="I87" s="30" t="str">
        <f aca="false">IF(A87="","",IF(G87="Concluído","✅ Concluído",IF(F87="","⚪ Sem prazo",IF(H87&lt;0,"🔴 COBRAR · "&amp;-H87&amp;" dia(s) atrasado",IF(H87=0,"🟠 Vence HOJE",IF(H87&lt;=3,"🟠 Vence em "&amp;H87&amp;" dia(s)","🟢 No prazo"))))))</f>
        <v/>
      </c>
      <c r="J87" s="27"/>
      <c r="K87" s="26"/>
      <c r="L87" s="30" t="str">
        <f aca="true">IF(OR(A87="",G87="Concluído",F87=""),"",IF(F87&lt;=TODAY()+3,F87+ROW()/1000000,""))</f>
        <v/>
      </c>
    </row>
    <row r="88" customFormat="false" ht="15" hidden="false" customHeight="false" outlineLevel="0" collapsed="false">
      <c r="A88" s="26"/>
      <c r="B88" s="26"/>
      <c r="C88" s="27"/>
      <c r="D88" s="26"/>
      <c r="E88" s="26"/>
      <c r="F88" s="28" t="str">
        <f aca="false">IF(OR(C88="",D88=""),"",IFERROR(C88-INDEX(Listas!$B$5:$B$30,MATCH(D88,Listas!$A$5:$A$30,0)),""))</f>
        <v/>
      </c>
      <c r="G88" s="26"/>
      <c r="H88" s="29" t="str">
        <f aca="true">IF(OR(A88="",F88="",G88="Concluído"),"",F88-TODAY())</f>
        <v/>
      </c>
      <c r="I88" s="30" t="str">
        <f aca="false">IF(A88="","",IF(G88="Concluído","✅ Concluído",IF(F88="","⚪ Sem prazo",IF(H88&lt;0,"🔴 COBRAR · "&amp;-H88&amp;" dia(s) atrasado",IF(H88=0,"🟠 Vence HOJE",IF(H88&lt;=3,"🟠 Vence em "&amp;H88&amp;" dia(s)","🟢 No prazo"))))))</f>
        <v/>
      </c>
      <c r="J88" s="27"/>
      <c r="K88" s="26"/>
      <c r="L88" s="30" t="str">
        <f aca="true">IF(OR(A88="",G88="Concluído",F88=""),"",IF(F88&lt;=TODAY()+3,F88+ROW()/1000000,""))</f>
        <v/>
      </c>
    </row>
    <row r="89" customFormat="false" ht="15" hidden="false" customHeight="false" outlineLevel="0" collapsed="false">
      <c r="A89" s="26"/>
      <c r="B89" s="26"/>
      <c r="C89" s="27"/>
      <c r="D89" s="26"/>
      <c r="E89" s="26"/>
      <c r="F89" s="28" t="str">
        <f aca="false">IF(OR(C89="",D89=""),"",IFERROR(C89-INDEX(Listas!$B$5:$B$30,MATCH(D89,Listas!$A$5:$A$30,0)),""))</f>
        <v/>
      </c>
      <c r="G89" s="26"/>
      <c r="H89" s="29" t="str">
        <f aca="true">IF(OR(A89="",F89="",G89="Concluído"),"",F89-TODAY())</f>
        <v/>
      </c>
      <c r="I89" s="30" t="str">
        <f aca="false">IF(A89="","",IF(G89="Concluído","✅ Concluído",IF(F89="","⚪ Sem prazo",IF(H89&lt;0,"🔴 COBRAR · "&amp;-H89&amp;" dia(s) atrasado",IF(H89=0,"🟠 Vence HOJE",IF(H89&lt;=3,"🟠 Vence em "&amp;H89&amp;" dia(s)","🟢 No prazo"))))))</f>
        <v/>
      </c>
      <c r="J89" s="27"/>
      <c r="K89" s="26"/>
      <c r="L89" s="30" t="str">
        <f aca="true">IF(OR(A89="",G89="Concluído",F89=""),"",IF(F89&lt;=TODAY()+3,F89+ROW()/1000000,""))</f>
        <v/>
      </c>
    </row>
    <row r="90" customFormat="false" ht="15" hidden="false" customHeight="false" outlineLevel="0" collapsed="false">
      <c r="A90" s="26"/>
      <c r="B90" s="26"/>
      <c r="C90" s="27"/>
      <c r="D90" s="26"/>
      <c r="E90" s="26"/>
      <c r="F90" s="28" t="str">
        <f aca="false">IF(OR(C90="",D90=""),"",IFERROR(C90-INDEX(Listas!$B$5:$B$30,MATCH(D90,Listas!$A$5:$A$30,0)),""))</f>
        <v/>
      </c>
      <c r="G90" s="26"/>
      <c r="H90" s="29" t="str">
        <f aca="true">IF(OR(A90="",F90="",G90="Concluído"),"",F90-TODAY())</f>
        <v/>
      </c>
      <c r="I90" s="30" t="str">
        <f aca="false">IF(A90="","",IF(G90="Concluído","✅ Concluído",IF(F90="","⚪ Sem prazo",IF(H90&lt;0,"🔴 COBRAR · "&amp;-H90&amp;" dia(s) atrasado",IF(H90=0,"🟠 Vence HOJE",IF(H90&lt;=3,"🟠 Vence em "&amp;H90&amp;" dia(s)","🟢 No prazo"))))))</f>
        <v/>
      </c>
      <c r="J90" s="27"/>
      <c r="K90" s="26"/>
      <c r="L90" s="30" t="str">
        <f aca="true">IF(OR(A90="",G90="Concluído",F90=""),"",IF(F90&lt;=TODAY()+3,F90+ROW()/1000000,""))</f>
        <v/>
      </c>
    </row>
    <row r="91" customFormat="false" ht="15" hidden="false" customHeight="false" outlineLevel="0" collapsed="false">
      <c r="A91" s="26"/>
      <c r="B91" s="26"/>
      <c r="C91" s="27"/>
      <c r="D91" s="26"/>
      <c r="E91" s="26"/>
      <c r="F91" s="28" t="str">
        <f aca="false">IF(OR(C91="",D91=""),"",IFERROR(C91-INDEX(Listas!$B$5:$B$30,MATCH(D91,Listas!$A$5:$A$30,0)),""))</f>
        <v/>
      </c>
      <c r="G91" s="26"/>
      <c r="H91" s="29" t="str">
        <f aca="true">IF(OR(A91="",F91="",G91="Concluído"),"",F91-TODAY())</f>
        <v/>
      </c>
      <c r="I91" s="30" t="str">
        <f aca="false">IF(A91="","",IF(G91="Concluído","✅ Concluído",IF(F91="","⚪ Sem prazo",IF(H91&lt;0,"🔴 COBRAR · "&amp;-H91&amp;" dia(s) atrasado",IF(H91=0,"🟠 Vence HOJE",IF(H91&lt;=3,"🟠 Vence em "&amp;H91&amp;" dia(s)","🟢 No prazo"))))))</f>
        <v/>
      </c>
      <c r="J91" s="27"/>
      <c r="K91" s="26"/>
      <c r="L91" s="30" t="str">
        <f aca="true">IF(OR(A91="",G91="Concluído",F91=""),"",IF(F91&lt;=TODAY()+3,F91+ROW()/1000000,""))</f>
        <v/>
      </c>
    </row>
    <row r="92" customFormat="false" ht="15" hidden="false" customHeight="false" outlineLevel="0" collapsed="false">
      <c r="A92" s="26"/>
      <c r="B92" s="26"/>
      <c r="C92" s="27"/>
      <c r="D92" s="26"/>
      <c r="E92" s="26"/>
      <c r="F92" s="28" t="str">
        <f aca="false">IF(OR(C92="",D92=""),"",IFERROR(C92-INDEX(Listas!$B$5:$B$30,MATCH(D92,Listas!$A$5:$A$30,0)),""))</f>
        <v/>
      </c>
      <c r="G92" s="26"/>
      <c r="H92" s="29" t="str">
        <f aca="true">IF(OR(A92="",F92="",G92="Concluído"),"",F92-TODAY())</f>
        <v/>
      </c>
      <c r="I92" s="30" t="str">
        <f aca="false">IF(A92="","",IF(G92="Concluído","✅ Concluído",IF(F92="","⚪ Sem prazo",IF(H92&lt;0,"🔴 COBRAR · "&amp;-H92&amp;" dia(s) atrasado",IF(H92=0,"🟠 Vence HOJE",IF(H92&lt;=3,"🟠 Vence em "&amp;H92&amp;" dia(s)","🟢 No prazo"))))))</f>
        <v/>
      </c>
      <c r="J92" s="27"/>
      <c r="K92" s="26"/>
      <c r="L92" s="30" t="str">
        <f aca="true">IF(OR(A92="",G92="Concluído",F92=""),"",IF(F92&lt;=TODAY()+3,F92+ROW()/1000000,""))</f>
        <v/>
      </c>
    </row>
    <row r="93" customFormat="false" ht="15" hidden="false" customHeight="false" outlineLevel="0" collapsed="false">
      <c r="A93" s="26"/>
      <c r="B93" s="26"/>
      <c r="C93" s="27"/>
      <c r="D93" s="26"/>
      <c r="E93" s="26"/>
      <c r="F93" s="28" t="str">
        <f aca="false">IF(OR(C93="",D93=""),"",IFERROR(C93-INDEX(Listas!$B$5:$B$30,MATCH(D93,Listas!$A$5:$A$30,0)),""))</f>
        <v/>
      </c>
      <c r="G93" s="26"/>
      <c r="H93" s="29" t="str">
        <f aca="true">IF(OR(A93="",F93="",G93="Concluído"),"",F93-TODAY())</f>
        <v/>
      </c>
      <c r="I93" s="30" t="str">
        <f aca="false">IF(A93="","",IF(G93="Concluído","✅ Concluído",IF(F93="","⚪ Sem prazo",IF(H93&lt;0,"🔴 COBRAR · "&amp;-H93&amp;" dia(s) atrasado",IF(H93=0,"🟠 Vence HOJE",IF(H93&lt;=3,"🟠 Vence em "&amp;H93&amp;" dia(s)","🟢 No prazo"))))))</f>
        <v/>
      </c>
      <c r="J93" s="27"/>
      <c r="K93" s="26"/>
      <c r="L93" s="30" t="str">
        <f aca="true">IF(OR(A93="",G93="Concluído",F93=""),"",IF(F93&lt;=TODAY()+3,F93+ROW()/1000000,""))</f>
        <v/>
      </c>
    </row>
    <row r="94" customFormat="false" ht="15" hidden="false" customHeight="false" outlineLevel="0" collapsed="false">
      <c r="A94" s="26"/>
      <c r="B94" s="26"/>
      <c r="C94" s="27"/>
      <c r="D94" s="26"/>
      <c r="E94" s="26"/>
      <c r="F94" s="28" t="str">
        <f aca="false">IF(OR(C94="",D94=""),"",IFERROR(C94-INDEX(Listas!$B$5:$B$30,MATCH(D94,Listas!$A$5:$A$30,0)),""))</f>
        <v/>
      </c>
      <c r="G94" s="26"/>
      <c r="H94" s="29" t="str">
        <f aca="true">IF(OR(A94="",F94="",G94="Concluído"),"",F94-TODAY())</f>
        <v/>
      </c>
      <c r="I94" s="30" t="str">
        <f aca="false">IF(A94="","",IF(G94="Concluído","✅ Concluído",IF(F94="","⚪ Sem prazo",IF(H94&lt;0,"🔴 COBRAR · "&amp;-H94&amp;" dia(s) atrasado",IF(H94=0,"🟠 Vence HOJE",IF(H94&lt;=3,"🟠 Vence em "&amp;H94&amp;" dia(s)","🟢 No prazo"))))))</f>
        <v/>
      </c>
      <c r="J94" s="27"/>
      <c r="K94" s="26"/>
      <c r="L94" s="30" t="str">
        <f aca="true">IF(OR(A94="",G94="Concluído",F94=""),"",IF(F94&lt;=TODAY()+3,F94+ROW()/1000000,""))</f>
        <v/>
      </c>
    </row>
    <row r="95" customFormat="false" ht="15" hidden="false" customHeight="false" outlineLevel="0" collapsed="false">
      <c r="A95" s="26"/>
      <c r="B95" s="26"/>
      <c r="C95" s="27"/>
      <c r="D95" s="26"/>
      <c r="E95" s="26"/>
      <c r="F95" s="28" t="str">
        <f aca="false">IF(OR(C95="",D95=""),"",IFERROR(C95-INDEX(Listas!$B$5:$B$30,MATCH(D95,Listas!$A$5:$A$30,0)),""))</f>
        <v/>
      </c>
      <c r="G95" s="26"/>
      <c r="H95" s="29" t="str">
        <f aca="true">IF(OR(A95="",F95="",G95="Concluído"),"",F95-TODAY())</f>
        <v/>
      </c>
      <c r="I95" s="30" t="str">
        <f aca="false">IF(A95="","",IF(G95="Concluído","✅ Concluído",IF(F95="","⚪ Sem prazo",IF(H95&lt;0,"🔴 COBRAR · "&amp;-H95&amp;" dia(s) atrasado",IF(H95=0,"🟠 Vence HOJE",IF(H95&lt;=3,"🟠 Vence em "&amp;H95&amp;" dia(s)","🟢 No prazo"))))))</f>
        <v/>
      </c>
      <c r="J95" s="27"/>
      <c r="K95" s="26"/>
      <c r="L95" s="30" t="str">
        <f aca="true">IF(OR(A95="",G95="Concluído",F95=""),"",IF(F95&lt;=TODAY()+3,F95+ROW()/1000000,""))</f>
        <v/>
      </c>
    </row>
    <row r="96" customFormat="false" ht="15" hidden="false" customHeight="false" outlineLevel="0" collapsed="false">
      <c r="A96" s="26"/>
      <c r="B96" s="26"/>
      <c r="C96" s="27"/>
      <c r="D96" s="26"/>
      <c r="E96" s="26"/>
      <c r="F96" s="28" t="str">
        <f aca="false">IF(OR(C96="",D96=""),"",IFERROR(C96-INDEX(Listas!$B$5:$B$30,MATCH(D96,Listas!$A$5:$A$30,0)),""))</f>
        <v/>
      </c>
      <c r="G96" s="26"/>
      <c r="H96" s="29" t="str">
        <f aca="true">IF(OR(A96="",F96="",G96="Concluído"),"",F96-TODAY())</f>
        <v/>
      </c>
      <c r="I96" s="30" t="str">
        <f aca="false">IF(A96="","",IF(G96="Concluído","✅ Concluído",IF(F96="","⚪ Sem prazo",IF(H96&lt;0,"🔴 COBRAR · "&amp;-H96&amp;" dia(s) atrasado",IF(H96=0,"🟠 Vence HOJE",IF(H96&lt;=3,"🟠 Vence em "&amp;H96&amp;" dia(s)","🟢 No prazo"))))))</f>
        <v/>
      </c>
      <c r="J96" s="27"/>
      <c r="K96" s="26"/>
      <c r="L96" s="30" t="str">
        <f aca="true">IF(OR(A96="",G96="Concluído",F96=""),"",IF(F96&lt;=TODAY()+3,F96+ROW()/1000000,""))</f>
        <v/>
      </c>
    </row>
    <row r="97" customFormat="false" ht="15" hidden="false" customHeight="false" outlineLevel="0" collapsed="false">
      <c r="A97" s="26"/>
      <c r="B97" s="26"/>
      <c r="C97" s="27"/>
      <c r="D97" s="26"/>
      <c r="E97" s="26"/>
      <c r="F97" s="28" t="str">
        <f aca="false">IF(OR(C97="",D97=""),"",IFERROR(C97-INDEX(Listas!$B$5:$B$30,MATCH(D97,Listas!$A$5:$A$30,0)),""))</f>
        <v/>
      </c>
      <c r="G97" s="26"/>
      <c r="H97" s="29" t="str">
        <f aca="true">IF(OR(A97="",F97="",G97="Concluído"),"",F97-TODAY())</f>
        <v/>
      </c>
      <c r="I97" s="30" t="str">
        <f aca="false">IF(A97="","",IF(G97="Concluído","✅ Concluído",IF(F97="","⚪ Sem prazo",IF(H97&lt;0,"🔴 COBRAR · "&amp;-H97&amp;" dia(s) atrasado",IF(H97=0,"🟠 Vence HOJE",IF(H97&lt;=3,"🟠 Vence em "&amp;H97&amp;" dia(s)","🟢 No prazo"))))))</f>
        <v/>
      </c>
      <c r="J97" s="27"/>
      <c r="K97" s="26"/>
      <c r="L97" s="30" t="str">
        <f aca="true">IF(OR(A97="",G97="Concluído",F97=""),"",IF(F97&lt;=TODAY()+3,F97+ROW()/1000000,""))</f>
        <v/>
      </c>
    </row>
    <row r="98" customFormat="false" ht="15" hidden="false" customHeight="false" outlineLevel="0" collapsed="false">
      <c r="A98" s="26"/>
      <c r="B98" s="26"/>
      <c r="C98" s="27"/>
      <c r="D98" s="26"/>
      <c r="E98" s="26"/>
      <c r="F98" s="28" t="str">
        <f aca="false">IF(OR(C98="",D98=""),"",IFERROR(C98-INDEX(Listas!$B$5:$B$30,MATCH(D98,Listas!$A$5:$A$30,0)),""))</f>
        <v/>
      </c>
      <c r="G98" s="26"/>
      <c r="H98" s="29" t="str">
        <f aca="true">IF(OR(A98="",F98="",G98="Concluído"),"",F98-TODAY())</f>
        <v/>
      </c>
      <c r="I98" s="30" t="str">
        <f aca="false">IF(A98="","",IF(G98="Concluído","✅ Concluído",IF(F98="","⚪ Sem prazo",IF(H98&lt;0,"🔴 COBRAR · "&amp;-H98&amp;" dia(s) atrasado",IF(H98=0,"🟠 Vence HOJE",IF(H98&lt;=3,"🟠 Vence em "&amp;H98&amp;" dia(s)","🟢 No prazo"))))))</f>
        <v/>
      </c>
      <c r="J98" s="27"/>
      <c r="K98" s="26"/>
      <c r="L98" s="30" t="str">
        <f aca="true">IF(OR(A98="",G98="Concluído",F98=""),"",IF(F98&lt;=TODAY()+3,F98+ROW()/1000000,""))</f>
        <v/>
      </c>
    </row>
    <row r="99" customFormat="false" ht="15" hidden="false" customHeight="false" outlineLevel="0" collapsed="false">
      <c r="A99" s="26"/>
      <c r="B99" s="26"/>
      <c r="C99" s="27"/>
      <c r="D99" s="26"/>
      <c r="E99" s="26"/>
      <c r="F99" s="28" t="str">
        <f aca="false">IF(OR(C99="",D99=""),"",IFERROR(C99-INDEX(Listas!$B$5:$B$30,MATCH(D99,Listas!$A$5:$A$30,0)),""))</f>
        <v/>
      </c>
      <c r="G99" s="26"/>
      <c r="H99" s="29" t="str">
        <f aca="true">IF(OR(A99="",F99="",G99="Concluído"),"",F99-TODAY())</f>
        <v/>
      </c>
      <c r="I99" s="30" t="str">
        <f aca="false">IF(A99="","",IF(G99="Concluído","✅ Concluído",IF(F99="","⚪ Sem prazo",IF(H99&lt;0,"🔴 COBRAR · "&amp;-H99&amp;" dia(s) atrasado",IF(H99=0,"🟠 Vence HOJE",IF(H99&lt;=3,"🟠 Vence em "&amp;H99&amp;" dia(s)","🟢 No prazo"))))))</f>
        <v/>
      </c>
      <c r="J99" s="27"/>
      <c r="K99" s="26"/>
      <c r="L99" s="30" t="str">
        <f aca="true">IF(OR(A99="",G99="Concluído",F99=""),"",IF(F99&lt;=TODAY()+3,F99+ROW()/1000000,""))</f>
        <v/>
      </c>
    </row>
    <row r="100" customFormat="false" ht="15" hidden="false" customHeight="false" outlineLevel="0" collapsed="false">
      <c r="A100" s="26"/>
      <c r="B100" s="26"/>
      <c r="C100" s="27"/>
      <c r="D100" s="26"/>
      <c r="E100" s="26"/>
      <c r="F100" s="28" t="str">
        <f aca="false">IF(OR(C100="",D100=""),"",IFERROR(C100-INDEX(Listas!$B$5:$B$30,MATCH(D100,Listas!$A$5:$A$30,0)),""))</f>
        <v/>
      </c>
      <c r="G100" s="26"/>
      <c r="H100" s="29" t="str">
        <f aca="true">IF(OR(A100="",F100="",G100="Concluído"),"",F100-TODAY())</f>
        <v/>
      </c>
      <c r="I100" s="30" t="str">
        <f aca="false">IF(A100="","",IF(G100="Concluído","✅ Concluído",IF(F100="","⚪ Sem prazo",IF(H100&lt;0,"🔴 COBRAR · "&amp;-H100&amp;" dia(s) atrasado",IF(H100=0,"🟠 Vence HOJE",IF(H100&lt;=3,"🟠 Vence em "&amp;H100&amp;" dia(s)","🟢 No prazo"))))))</f>
        <v/>
      </c>
      <c r="J100" s="27"/>
      <c r="K100" s="26"/>
      <c r="L100" s="30" t="str">
        <f aca="true">IF(OR(A100="",G100="Concluído",F100=""),"",IF(F100&lt;=TODAY()+3,F100+ROW()/1000000,""))</f>
        <v/>
      </c>
    </row>
    <row r="101" customFormat="false" ht="15" hidden="false" customHeight="false" outlineLevel="0" collapsed="false">
      <c r="A101" s="26"/>
      <c r="B101" s="26"/>
      <c r="C101" s="27"/>
      <c r="D101" s="26"/>
      <c r="E101" s="26"/>
      <c r="F101" s="28" t="str">
        <f aca="false">IF(OR(C101="",D101=""),"",IFERROR(C101-INDEX(Listas!$B$5:$B$30,MATCH(D101,Listas!$A$5:$A$30,0)),""))</f>
        <v/>
      </c>
      <c r="G101" s="26"/>
      <c r="H101" s="29" t="str">
        <f aca="true">IF(OR(A101="",F101="",G101="Concluído"),"",F101-TODAY())</f>
        <v/>
      </c>
      <c r="I101" s="30" t="str">
        <f aca="false">IF(A101="","",IF(G101="Concluído","✅ Concluído",IF(F101="","⚪ Sem prazo",IF(H101&lt;0,"🔴 COBRAR · "&amp;-H101&amp;" dia(s) atrasado",IF(H101=0,"🟠 Vence HOJE",IF(H101&lt;=3,"🟠 Vence em "&amp;H101&amp;" dia(s)","🟢 No prazo"))))))</f>
        <v/>
      </c>
      <c r="J101" s="27"/>
      <c r="K101" s="26"/>
      <c r="L101" s="30" t="str">
        <f aca="true">IF(OR(A101="",G101="Concluído",F101=""),"",IF(F101&lt;=TODAY()+3,F101+ROW()/1000000,""))</f>
        <v/>
      </c>
    </row>
    <row r="102" customFormat="false" ht="15" hidden="false" customHeight="false" outlineLevel="0" collapsed="false">
      <c r="A102" s="26"/>
      <c r="B102" s="26"/>
      <c r="C102" s="27"/>
      <c r="D102" s="26"/>
      <c r="E102" s="26"/>
      <c r="F102" s="28" t="str">
        <f aca="false">IF(OR(C102="",D102=""),"",IFERROR(C102-INDEX(Listas!$B$5:$B$30,MATCH(D102,Listas!$A$5:$A$30,0)),""))</f>
        <v/>
      </c>
      <c r="G102" s="26"/>
      <c r="H102" s="29" t="str">
        <f aca="true">IF(OR(A102="",F102="",G102="Concluído"),"",F102-TODAY())</f>
        <v/>
      </c>
      <c r="I102" s="30" t="str">
        <f aca="false">IF(A102="","",IF(G102="Concluído","✅ Concluído",IF(F102="","⚪ Sem prazo",IF(H102&lt;0,"🔴 COBRAR · "&amp;-H102&amp;" dia(s) atrasado",IF(H102=0,"🟠 Vence HOJE",IF(H102&lt;=3,"🟠 Vence em "&amp;H102&amp;" dia(s)","🟢 No prazo"))))))</f>
        <v/>
      </c>
      <c r="J102" s="27"/>
      <c r="K102" s="26"/>
      <c r="L102" s="30" t="str">
        <f aca="true">IF(OR(A102="",G102="Concluído",F102=""),"",IF(F102&lt;=TODAY()+3,F102+ROW()/1000000,""))</f>
        <v/>
      </c>
    </row>
    <row r="103" customFormat="false" ht="15" hidden="false" customHeight="false" outlineLevel="0" collapsed="false">
      <c r="A103" s="26"/>
      <c r="B103" s="26"/>
      <c r="C103" s="27"/>
      <c r="D103" s="26"/>
      <c r="E103" s="26"/>
      <c r="F103" s="28" t="str">
        <f aca="false">IF(OR(C103="",D103=""),"",IFERROR(C103-INDEX(Listas!$B$5:$B$30,MATCH(D103,Listas!$A$5:$A$30,0)),""))</f>
        <v/>
      </c>
      <c r="G103" s="26"/>
      <c r="H103" s="29" t="str">
        <f aca="true">IF(OR(A103="",F103="",G103="Concluído"),"",F103-TODAY())</f>
        <v/>
      </c>
      <c r="I103" s="30" t="str">
        <f aca="false">IF(A103="","",IF(G103="Concluído","✅ Concluído",IF(F103="","⚪ Sem prazo",IF(H103&lt;0,"🔴 COBRAR · "&amp;-H103&amp;" dia(s) atrasado",IF(H103=0,"🟠 Vence HOJE",IF(H103&lt;=3,"🟠 Vence em "&amp;H103&amp;" dia(s)","🟢 No prazo"))))))</f>
        <v/>
      </c>
      <c r="J103" s="27"/>
      <c r="K103" s="26"/>
      <c r="L103" s="30" t="str">
        <f aca="true">IF(OR(A103="",G103="Concluído",F103=""),"",IF(F103&lt;=TODAY()+3,F103+ROW()/1000000,""))</f>
        <v/>
      </c>
    </row>
    <row r="104" customFormat="false" ht="15" hidden="false" customHeight="false" outlineLevel="0" collapsed="false">
      <c r="A104" s="26"/>
      <c r="B104" s="26"/>
      <c r="C104" s="27"/>
      <c r="D104" s="26"/>
      <c r="E104" s="26"/>
      <c r="F104" s="28" t="str">
        <f aca="false">IF(OR(C104="",D104=""),"",IFERROR(C104-INDEX(Listas!$B$5:$B$30,MATCH(D104,Listas!$A$5:$A$30,0)),""))</f>
        <v/>
      </c>
      <c r="G104" s="26"/>
      <c r="H104" s="29" t="str">
        <f aca="true">IF(OR(A104="",F104="",G104="Concluído"),"",F104-TODAY())</f>
        <v/>
      </c>
      <c r="I104" s="30" t="str">
        <f aca="false">IF(A104="","",IF(G104="Concluído","✅ Concluído",IF(F104="","⚪ Sem prazo",IF(H104&lt;0,"🔴 COBRAR · "&amp;-H104&amp;" dia(s) atrasado",IF(H104=0,"🟠 Vence HOJE",IF(H104&lt;=3,"🟠 Vence em "&amp;H104&amp;" dia(s)","🟢 No prazo"))))))</f>
        <v/>
      </c>
      <c r="J104" s="27"/>
      <c r="K104" s="26"/>
      <c r="L104" s="30" t="str">
        <f aca="true">IF(OR(A104="",G104="Concluído",F104=""),"",IF(F104&lt;=TODAY()+3,F104+ROW()/1000000,""))</f>
        <v/>
      </c>
    </row>
    <row r="105" customFormat="false" ht="15" hidden="false" customHeight="false" outlineLevel="0" collapsed="false">
      <c r="A105" s="26"/>
      <c r="B105" s="26"/>
      <c r="C105" s="27"/>
      <c r="D105" s="26"/>
      <c r="E105" s="26"/>
      <c r="F105" s="28" t="str">
        <f aca="false">IF(OR(C105="",D105=""),"",IFERROR(C105-INDEX(Listas!$B$5:$B$30,MATCH(D105,Listas!$A$5:$A$30,0)),""))</f>
        <v/>
      </c>
      <c r="G105" s="26"/>
      <c r="H105" s="29" t="str">
        <f aca="true">IF(OR(A105="",F105="",G105="Concluído"),"",F105-TODAY())</f>
        <v/>
      </c>
      <c r="I105" s="30" t="str">
        <f aca="false">IF(A105="","",IF(G105="Concluído","✅ Concluído",IF(F105="","⚪ Sem prazo",IF(H105&lt;0,"🔴 COBRAR · "&amp;-H105&amp;" dia(s) atrasado",IF(H105=0,"🟠 Vence HOJE",IF(H105&lt;=3,"🟠 Vence em "&amp;H105&amp;" dia(s)","🟢 No prazo"))))))</f>
        <v/>
      </c>
      <c r="J105" s="27"/>
      <c r="K105" s="26"/>
      <c r="L105" s="30" t="str">
        <f aca="true">IF(OR(A105="",G105="Concluído",F105=""),"",IF(F105&lt;=TODAY()+3,F105+ROW()/1000000,""))</f>
        <v/>
      </c>
    </row>
    <row r="106" customFormat="false" ht="15" hidden="false" customHeight="false" outlineLevel="0" collapsed="false">
      <c r="A106" s="26"/>
      <c r="B106" s="26"/>
      <c r="C106" s="27"/>
      <c r="D106" s="26"/>
      <c r="E106" s="26"/>
      <c r="F106" s="28" t="str">
        <f aca="false">IF(OR(C106="",D106=""),"",IFERROR(C106-INDEX(Listas!$B$5:$B$30,MATCH(D106,Listas!$A$5:$A$30,0)),""))</f>
        <v/>
      </c>
      <c r="G106" s="26"/>
      <c r="H106" s="29" t="str">
        <f aca="true">IF(OR(A106="",F106="",G106="Concluído"),"",F106-TODAY())</f>
        <v/>
      </c>
      <c r="I106" s="30" t="str">
        <f aca="false">IF(A106="","",IF(G106="Concluído","✅ Concluído",IF(F106="","⚪ Sem prazo",IF(H106&lt;0,"🔴 COBRAR · "&amp;-H106&amp;" dia(s) atrasado",IF(H106=0,"🟠 Vence HOJE",IF(H106&lt;=3,"🟠 Vence em "&amp;H106&amp;" dia(s)","🟢 No prazo"))))))</f>
        <v/>
      </c>
      <c r="J106" s="27"/>
      <c r="K106" s="26"/>
      <c r="L106" s="30" t="str">
        <f aca="true">IF(OR(A106="",G106="Concluído",F106=""),"",IF(F106&lt;=TODAY()+3,F106+ROW()/1000000,""))</f>
        <v/>
      </c>
    </row>
    <row r="107" customFormat="false" ht="15" hidden="false" customHeight="false" outlineLevel="0" collapsed="false">
      <c r="A107" s="26"/>
      <c r="B107" s="26"/>
      <c r="C107" s="27"/>
      <c r="D107" s="26"/>
      <c r="E107" s="26"/>
      <c r="F107" s="28" t="str">
        <f aca="false">IF(OR(C107="",D107=""),"",IFERROR(C107-INDEX(Listas!$B$5:$B$30,MATCH(D107,Listas!$A$5:$A$30,0)),""))</f>
        <v/>
      </c>
      <c r="G107" s="26"/>
      <c r="H107" s="29" t="str">
        <f aca="true">IF(OR(A107="",F107="",G107="Concluído"),"",F107-TODAY())</f>
        <v/>
      </c>
      <c r="I107" s="30" t="str">
        <f aca="false">IF(A107="","",IF(G107="Concluído","✅ Concluído",IF(F107="","⚪ Sem prazo",IF(H107&lt;0,"🔴 COBRAR · "&amp;-H107&amp;" dia(s) atrasado",IF(H107=0,"🟠 Vence HOJE",IF(H107&lt;=3,"🟠 Vence em "&amp;H107&amp;" dia(s)","🟢 No prazo"))))))</f>
        <v/>
      </c>
      <c r="J107" s="27"/>
      <c r="K107" s="26"/>
      <c r="L107" s="30" t="str">
        <f aca="true">IF(OR(A107="",G107="Concluído",F107=""),"",IF(F107&lt;=TODAY()+3,F107+ROW()/1000000,""))</f>
        <v/>
      </c>
    </row>
    <row r="108" customFormat="false" ht="15" hidden="false" customHeight="false" outlineLevel="0" collapsed="false">
      <c r="A108" s="26"/>
      <c r="B108" s="26"/>
      <c r="C108" s="27"/>
      <c r="D108" s="26"/>
      <c r="E108" s="26"/>
      <c r="F108" s="28" t="str">
        <f aca="false">IF(OR(C108="",D108=""),"",IFERROR(C108-INDEX(Listas!$B$5:$B$30,MATCH(D108,Listas!$A$5:$A$30,0)),""))</f>
        <v/>
      </c>
      <c r="G108" s="26"/>
      <c r="H108" s="29" t="str">
        <f aca="true">IF(OR(A108="",F108="",G108="Concluído"),"",F108-TODAY())</f>
        <v/>
      </c>
      <c r="I108" s="30" t="str">
        <f aca="false">IF(A108="","",IF(G108="Concluído","✅ Concluído",IF(F108="","⚪ Sem prazo",IF(H108&lt;0,"🔴 COBRAR · "&amp;-H108&amp;" dia(s) atrasado",IF(H108=0,"🟠 Vence HOJE",IF(H108&lt;=3,"🟠 Vence em "&amp;H108&amp;" dia(s)","🟢 No prazo"))))))</f>
        <v/>
      </c>
      <c r="J108" s="27"/>
      <c r="K108" s="26"/>
      <c r="L108" s="30" t="str">
        <f aca="true">IF(OR(A108="",G108="Concluído",F108=""),"",IF(F108&lt;=TODAY()+3,F108+ROW()/1000000,""))</f>
        <v/>
      </c>
    </row>
    <row r="109" customFormat="false" ht="15" hidden="false" customHeight="false" outlineLevel="0" collapsed="false">
      <c r="A109" s="26"/>
      <c r="B109" s="26"/>
      <c r="C109" s="27"/>
      <c r="D109" s="26"/>
      <c r="E109" s="26"/>
      <c r="F109" s="28" t="str">
        <f aca="false">IF(OR(C109="",D109=""),"",IFERROR(C109-INDEX(Listas!$B$5:$B$30,MATCH(D109,Listas!$A$5:$A$30,0)),""))</f>
        <v/>
      </c>
      <c r="G109" s="26"/>
      <c r="H109" s="29" t="str">
        <f aca="true">IF(OR(A109="",F109="",G109="Concluído"),"",F109-TODAY())</f>
        <v/>
      </c>
      <c r="I109" s="30" t="str">
        <f aca="false">IF(A109="","",IF(G109="Concluído","✅ Concluído",IF(F109="","⚪ Sem prazo",IF(H109&lt;0,"🔴 COBRAR · "&amp;-H109&amp;" dia(s) atrasado",IF(H109=0,"🟠 Vence HOJE",IF(H109&lt;=3,"🟠 Vence em "&amp;H109&amp;" dia(s)","🟢 No prazo"))))))</f>
        <v/>
      </c>
      <c r="J109" s="27"/>
      <c r="K109" s="26"/>
      <c r="L109" s="30" t="str">
        <f aca="true">IF(OR(A109="",G109="Concluído",F109=""),"",IF(F109&lt;=TODAY()+3,F109+ROW()/1000000,""))</f>
        <v/>
      </c>
    </row>
    <row r="110" customFormat="false" ht="15" hidden="false" customHeight="false" outlineLevel="0" collapsed="false">
      <c r="A110" s="26"/>
      <c r="B110" s="26"/>
      <c r="C110" s="27"/>
      <c r="D110" s="26"/>
      <c r="E110" s="26"/>
      <c r="F110" s="28" t="str">
        <f aca="false">IF(OR(C110="",D110=""),"",IFERROR(C110-INDEX(Listas!$B$5:$B$30,MATCH(D110,Listas!$A$5:$A$30,0)),""))</f>
        <v/>
      </c>
      <c r="G110" s="26"/>
      <c r="H110" s="29" t="str">
        <f aca="true">IF(OR(A110="",F110="",G110="Concluído"),"",F110-TODAY())</f>
        <v/>
      </c>
      <c r="I110" s="30" t="str">
        <f aca="false">IF(A110="","",IF(G110="Concluído","✅ Concluído",IF(F110="","⚪ Sem prazo",IF(H110&lt;0,"🔴 COBRAR · "&amp;-H110&amp;" dia(s) atrasado",IF(H110=0,"🟠 Vence HOJE",IF(H110&lt;=3,"🟠 Vence em "&amp;H110&amp;" dia(s)","🟢 No prazo"))))))</f>
        <v/>
      </c>
      <c r="J110" s="27"/>
      <c r="K110" s="26"/>
      <c r="L110" s="30" t="str">
        <f aca="true">IF(OR(A110="",G110="Concluído",F110=""),"",IF(F110&lt;=TODAY()+3,F110+ROW()/1000000,""))</f>
        <v/>
      </c>
    </row>
    <row r="111" customFormat="false" ht="15" hidden="false" customHeight="false" outlineLevel="0" collapsed="false">
      <c r="A111" s="26"/>
      <c r="B111" s="26"/>
      <c r="C111" s="27"/>
      <c r="D111" s="26"/>
      <c r="E111" s="26"/>
      <c r="F111" s="28" t="str">
        <f aca="false">IF(OR(C111="",D111=""),"",IFERROR(C111-INDEX(Listas!$B$5:$B$30,MATCH(D111,Listas!$A$5:$A$30,0)),""))</f>
        <v/>
      </c>
      <c r="G111" s="26"/>
      <c r="H111" s="29" t="str">
        <f aca="true">IF(OR(A111="",F111="",G111="Concluído"),"",F111-TODAY())</f>
        <v/>
      </c>
      <c r="I111" s="30" t="str">
        <f aca="false">IF(A111="","",IF(G111="Concluído","✅ Concluído",IF(F111="","⚪ Sem prazo",IF(H111&lt;0,"🔴 COBRAR · "&amp;-H111&amp;" dia(s) atrasado",IF(H111=0,"🟠 Vence HOJE",IF(H111&lt;=3,"🟠 Vence em "&amp;H111&amp;" dia(s)","🟢 No prazo"))))))</f>
        <v/>
      </c>
      <c r="J111" s="27"/>
      <c r="K111" s="26"/>
      <c r="L111" s="30" t="str">
        <f aca="true">IF(OR(A111="",G111="Concluído",F111=""),"",IF(F111&lt;=TODAY()+3,F111+ROW()/1000000,""))</f>
        <v/>
      </c>
    </row>
    <row r="112" customFormat="false" ht="15" hidden="false" customHeight="false" outlineLevel="0" collapsed="false">
      <c r="A112" s="26"/>
      <c r="B112" s="26"/>
      <c r="C112" s="27"/>
      <c r="D112" s="26"/>
      <c r="E112" s="26"/>
      <c r="F112" s="28" t="str">
        <f aca="false">IF(OR(C112="",D112=""),"",IFERROR(C112-INDEX(Listas!$B$5:$B$30,MATCH(D112,Listas!$A$5:$A$30,0)),""))</f>
        <v/>
      </c>
      <c r="G112" s="26"/>
      <c r="H112" s="29" t="str">
        <f aca="true">IF(OR(A112="",F112="",G112="Concluído"),"",F112-TODAY())</f>
        <v/>
      </c>
      <c r="I112" s="30" t="str">
        <f aca="false">IF(A112="","",IF(G112="Concluído","✅ Concluído",IF(F112="","⚪ Sem prazo",IF(H112&lt;0,"🔴 COBRAR · "&amp;-H112&amp;" dia(s) atrasado",IF(H112=0,"🟠 Vence HOJE",IF(H112&lt;=3,"🟠 Vence em "&amp;H112&amp;" dia(s)","🟢 No prazo"))))))</f>
        <v/>
      </c>
      <c r="J112" s="27"/>
      <c r="K112" s="26"/>
      <c r="L112" s="30" t="str">
        <f aca="true">IF(OR(A112="",G112="Concluído",F112=""),"",IF(F112&lt;=TODAY()+3,F112+ROW()/1000000,""))</f>
        <v/>
      </c>
    </row>
    <row r="113" customFormat="false" ht="15" hidden="false" customHeight="false" outlineLevel="0" collapsed="false">
      <c r="A113" s="26"/>
      <c r="B113" s="26"/>
      <c r="C113" s="27"/>
      <c r="D113" s="26"/>
      <c r="E113" s="26"/>
      <c r="F113" s="28" t="str">
        <f aca="false">IF(OR(C113="",D113=""),"",IFERROR(C113-INDEX(Listas!$B$5:$B$30,MATCH(D113,Listas!$A$5:$A$30,0)),""))</f>
        <v/>
      </c>
      <c r="G113" s="26"/>
      <c r="H113" s="29" t="str">
        <f aca="true">IF(OR(A113="",F113="",G113="Concluído"),"",F113-TODAY())</f>
        <v/>
      </c>
      <c r="I113" s="30" t="str">
        <f aca="false">IF(A113="","",IF(G113="Concluído","✅ Concluído",IF(F113="","⚪ Sem prazo",IF(H113&lt;0,"🔴 COBRAR · "&amp;-H113&amp;" dia(s) atrasado",IF(H113=0,"🟠 Vence HOJE",IF(H113&lt;=3,"🟠 Vence em "&amp;H113&amp;" dia(s)","🟢 No prazo"))))))</f>
        <v/>
      </c>
      <c r="J113" s="27"/>
      <c r="K113" s="26"/>
      <c r="L113" s="30" t="str">
        <f aca="true">IF(OR(A113="",G113="Concluído",F113=""),"",IF(F113&lt;=TODAY()+3,F113+ROW()/1000000,""))</f>
        <v/>
      </c>
    </row>
    <row r="114" customFormat="false" ht="15" hidden="false" customHeight="false" outlineLevel="0" collapsed="false">
      <c r="A114" s="26"/>
      <c r="B114" s="26"/>
      <c r="C114" s="27"/>
      <c r="D114" s="26"/>
      <c r="E114" s="26"/>
      <c r="F114" s="28" t="str">
        <f aca="false">IF(OR(C114="",D114=""),"",IFERROR(C114-INDEX(Listas!$B$5:$B$30,MATCH(D114,Listas!$A$5:$A$30,0)),""))</f>
        <v/>
      </c>
      <c r="G114" s="26"/>
      <c r="H114" s="29" t="str">
        <f aca="true">IF(OR(A114="",F114="",G114="Concluído"),"",F114-TODAY())</f>
        <v/>
      </c>
      <c r="I114" s="30" t="str">
        <f aca="false">IF(A114="","",IF(G114="Concluído","✅ Concluído",IF(F114="","⚪ Sem prazo",IF(H114&lt;0,"🔴 COBRAR · "&amp;-H114&amp;" dia(s) atrasado",IF(H114=0,"🟠 Vence HOJE",IF(H114&lt;=3,"🟠 Vence em "&amp;H114&amp;" dia(s)","🟢 No prazo"))))))</f>
        <v/>
      </c>
      <c r="J114" s="27"/>
      <c r="K114" s="26"/>
      <c r="L114" s="30" t="str">
        <f aca="true">IF(OR(A114="",G114="Concluído",F114=""),"",IF(F114&lt;=TODAY()+3,F114+ROW()/1000000,""))</f>
        <v/>
      </c>
    </row>
    <row r="115" customFormat="false" ht="15" hidden="false" customHeight="false" outlineLevel="0" collapsed="false">
      <c r="A115" s="26"/>
      <c r="B115" s="26"/>
      <c r="C115" s="27"/>
      <c r="D115" s="26"/>
      <c r="E115" s="26"/>
      <c r="F115" s="28" t="str">
        <f aca="false">IF(OR(C115="",D115=""),"",IFERROR(C115-INDEX(Listas!$B$5:$B$30,MATCH(D115,Listas!$A$5:$A$30,0)),""))</f>
        <v/>
      </c>
      <c r="G115" s="26"/>
      <c r="H115" s="29" t="str">
        <f aca="true">IF(OR(A115="",F115="",G115="Concluído"),"",F115-TODAY())</f>
        <v/>
      </c>
      <c r="I115" s="30" t="str">
        <f aca="false">IF(A115="","",IF(G115="Concluído","✅ Concluído",IF(F115="","⚪ Sem prazo",IF(H115&lt;0,"🔴 COBRAR · "&amp;-H115&amp;" dia(s) atrasado",IF(H115=0,"🟠 Vence HOJE",IF(H115&lt;=3,"🟠 Vence em "&amp;H115&amp;" dia(s)","🟢 No prazo"))))))</f>
        <v/>
      </c>
      <c r="J115" s="27"/>
      <c r="K115" s="26"/>
      <c r="L115" s="30" t="str">
        <f aca="true">IF(OR(A115="",G115="Concluído",F115=""),"",IF(F115&lt;=TODAY()+3,F115+ROW()/1000000,""))</f>
        <v/>
      </c>
    </row>
    <row r="116" customFormat="false" ht="15" hidden="false" customHeight="false" outlineLevel="0" collapsed="false">
      <c r="A116" s="26"/>
      <c r="B116" s="26"/>
      <c r="C116" s="27"/>
      <c r="D116" s="26"/>
      <c r="E116" s="26"/>
      <c r="F116" s="28" t="str">
        <f aca="false">IF(OR(C116="",D116=""),"",IFERROR(C116-INDEX(Listas!$B$5:$B$30,MATCH(D116,Listas!$A$5:$A$30,0)),""))</f>
        <v/>
      </c>
      <c r="G116" s="26"/>
      <c r="H116" s="29" t="str">
        <f aca="true">IF(OR(A116="",F116="",G116="Concluído"),"",F116-TODAY())</f>
        <v/>
      </c>
      <c r="I116" s="30" t="str">
        <f aca="false">IF(A116="","",IF(G116="Concluído","✅ Concluído",IF(F116="","⚪ Sem prazo",IF(H116&lt;0,"🔴 COBRAR · "&amp;-H116&amp;" dia(s) atrasado",IF(H116=0,"🟠 Vence HOJE",IF(H116&lt;=3,"🟠 Vence em "&amp;H116&amp;" dia(s)","🟢 No prazo"))))))</f>
        <v/>
      </c>
      <c r="J116" s="27"/>
      <c r="K116" s="26"/>
      <c r="L116" s="30" t="str">
        <f aca="true">IF(OR(A116="",G116="Concluído",F116=""),"",IF(F116&lt;=TODAY()+3,F116+ROW()/1000000,""))</f>
        <v/>
      </c>
    </row>
    <row r="117" customFormat="false" ht="15" hidden="false" customHeight="false" outlineLevel="0" collapsed="false">
      <c r="A117" s="26"/>
      <c r="B117" s="26"/>
      <c r="C117" s="27"/>
      <c r="D117" s="26"/>
      <c r="E117" s="26"/>
      <c r="F117" s="28" t="str">
        <f aca="false">IF(OR(C117="",D117=""),"",IFERROR(C117-INDEX(Listas!$B$5:$B$30,MATCH(D117,Listas!$A$5:$A$30,0)),""))</f>
        <v/>
      </c>
      <c r="G117" s="26"/>
      <c r="H117" s="29" t="str">
        <f aca="true">IF(OR(A117="",F117="",G117="Concluído"),"",F117-TODAY())</f>
        <v/>
      </c>
      <c r="I117" s="30" t="str">
        <f aca="false">IF(A117="","",IF(G117="Concluído","✅ Concluído",IF(F117="","⚪ Sem prazo",IF(H117&lt;0,"🔴 COBRAR · "&amp;-H117&amp;" dia(s) atrasado",IF(H117=0,"🟠 Vence HOJE",IF(H117&lt;=3,"🟠 Vence em "&amp;H117&amp;" dia(s)","🟢 No prazo"))))))</f>
        <v/>
      </c>
      <c r="J117" s="27"/>
      <c r="K117" s="26"/>
      <c r="L117" s="30" t="str">
        <f aca="true">IF(OR(A117="",G117="Concluído",F117=""),"",IF(F117&lt;=TODAY()+3,F117+ROW()/1000000,""))</f>
        <v/>
      </c>
    </row>
    <row r="118" customFormat="false" ht="15" hidden="false" customHeight="false" outlineLevel="0" collapsed="false">
      <c r="A118" s="26"/>
      <c r="B118" s="26"/>
      <c r="C118" s="27"/>
      <c r="D118" s="26"/>
      <c r="E118" s="26"/>
      <c r="F118" s="28" t="str">
        <f aca="false">IF(OR(C118="",D118=""),"",IFERROR(C118-INDEX(Listas!$B$5:$B$30,MATCH(D118,Listas!$A$5:$A$30,0)),""))</f>
        <v/>
      </c>
      <c r="G118" s="26"/>
      <c r="H118" s="29" t="str">
        <f aca="true">IF(OR(A118="",F118="",G118="Concluído"),"",F118-TODAY())</f>
        <v/>
      </c>
      <c r="I118" s="30" t="str">
        <f aca="false">IF(A118="","",IF(G118="Concluído","✅ Concluído",IF(F118="","⚪ Sem prazo",IF(H118&lt;0,"🔴 COBRAR · "&amp;-H118&amp;" dia(s) atrasado",IF(H118=0,"🟠 Vence HOJE",IF(H118&lt;=3,"🟠 Vence em "&amp;H118&amp;" dia(s)","🟢 No prazo"))))))</f>
        <v/>
      </c>
      <c r="J118" s="27"/>
      <c r="K118" s="26"/>
      <c r="L118" s="30" t="str">
        <f aca="true">IF(OR(A118="",G118="Concluído",F118=""),"",IF(F118&lt;=TODAY()+3,F118+ROW()/1000000,""))</f>
        <v/>
      </c>
    </row>
    <row r="119" customFormat="false" ht="15" hidden="false" customHeight="false" outlineLevel="0" collapsed="false">
      <c r="A119" s="26"/>
      <c r="B119" s="26"/>
      <c r="C119" s="27"/>
      <c r="D119" s="26"/>
      <c r="E119" s="26"/>
      <c r="F119" s="28" t="str">
        <f aca="false">IF(OR(C119="",D119=""),"",IFERROR(C119-INDEX(Listas!$B$5:$B$30,MATCH(D119,Listas!$A$5:$A$30,0)),""))</f>
        <v/>
      </c>
      <c r="G119" s="26"/>
      <c r="H119" s="29" t="str">
        <f aca="true">IF(OR(A119="",F119="",G119="Concluído"),"",F119-TODAY())</f>
        <v/>
      </c>
      <c r="I119" s="30" t="str">
        <f aca="false">IF(A119="","",IF(G119="Concluído","✅ Concluído",IF(F119="","⚪ Sem prazo",IF(H119&lt;0,"🔴 COBRAR · "&amp;-H119&amp;" dia(s) atrasado",IF(H119=0,"🟠 Vence HOJE",IF(H119&lt;=3,"🟠 Vence em "&amp;H119&amp;" dia(s)","🟢 No prazo"))))))</f>
        <v/>
      </c>
      <c r="J119" s="27"/>
      <c r="K119" s="26"/>
      <c r="L119" s="30" t="str">
        <f aca="true">IF(OR(A119="",G119="Concluído",F119=""),"",IF(F119&lt;=TODAY()+3,F119+ROW()/1000000,""))</f>
        <v/>
      </c>
    </row>
    <row r="120" customFormat="false" ht="15" hidden="false" customHeight="false" outlineLevel="0" collapsed="false">
      <c r="A120" s="26"/>
      <c r="B120" s="26"/>
      <c r="C120" s="27"/>
      <c r="D120" s="26"/>
      <c r="E120" s="26"/>
      <c r="F120" s="28" t="str">
        <f aca="false">IF(OR(C120="",D120=""),"",IFERROR(C120-INDEX(Listas!$B$5:$B$30,MATCH(D120,Listas!$A$5:$A$30,0)),""))</f>
        <v/>
      </c>
      <c r="G120" s="26"/>
      <c r="H120" s="29" t="str">
        <f aca="true">IF(OR(A120="",F120="",G120="Concluído"),"",F120-TODAY())</f>
        <v/>
      </c>
      <c r="I120" s="30" t="str">
        <f aca="false">IF(A120="","",IF(G120="Concluído","✅ Concluído",IF(F120="","⚪ Sem prazo",IF(H120&lt;0,"🔴 COBRAR · "&amp;-H120&amp;" dia(s) atrasado",IF(H120=0,"🟠 Vence HOJE",IF(H120&lt;=3,"🟠 Vence em "&amp;H120&amp;" dia(s)","🟢 No prazo"))))))</f>
        <v/>
      </c>
      <c r="J120" s="27"/>
      <c r="K120" s="26"/>
      <c r="L120" s="30" t="str">
        <f aca="true">IF(OR(A120="",G120="Concluído",F120=""),"",IF(F120&lt;=TODAY()+3,F120+ROW()/1000000,""))</f>
        <v/>
      </c>
    </row>
    <row r="121" customFormat="false" ht="15" hidden="false" customHeight="false" outlineLevel="0" collapsed="false">
      <c r="A121" s="26"/>
      <c r="B121" s="26"/>
      <c r="C121" s="27"/>
      <c r="D121" s="26"/>
      <c r="E121" s="26"/>
      <c r="F121" s="28" t="str">
        <f aca="false">IF(OR(C121="",D121=""),"",IFERROR(C121-INDEX(Listas!$B$5:$B$30,MATCH(D121,Listas!$A$5:$A$30,0)),""))</f>
        <v/>
      </c>
      <c r="G121" s="26"/>
      <c r="H121" s="29" t="str">
        <f aca="true">IF(OR(A121="",F121="",G121="Concluído"),"",F121-TODAY())</f>
        <v/>
      </c>
      <c r="I121" s="30" t="str">
        <f aca="false">IF(A121="","",IF(G121="Concluído","✅ Concluído",IF(F121="","⚪ Sem prazo",IF(H121&lt;0,"🔴 COBRAR · "&amp;-H121&amp;" dia(s) atrasado",IF(H121=0,"🟠 Vence HOJE",IF(H121&lt;=3,"🟠 Vence em "&amp;H121&amp;" dia(s)","🟢 No prazo"))))))</f>
        <v/>
      </c>
      <c r="J121" s="27"/>
      <c r="K121" s="26"/>
      <c r="L121" s="30" t="str">
        <f aca="true">IF(OR(A121="",G121="Concluído",F121=""),"",IF(F121&lt;=TODAY()+3,F121+ROW()/1000000,""))</f>
        <v/>
      </c>
    </row>
    <row r="122" customFormat="false" ht="15" hidden="false" customHeight="false" outlineLevel="0" collapsed="false">
      <c r="A122" s="26"/>
      <c r="B122" s="26"/>
      <c r="C122" s="27"/>
      <c r="D122" s="26"/>
      <c r="E122" s="26"/>
      <c r="F122" s="28" t="str">
        <f aca="false">IF(OR(C122="",D122=""),"",IFERROR(C122-INDEX(Listas!$B$5:$B$30,MATCH(D122,Listas!$A$5:$A$30,0)),""))</f>
        <v/>
      </c>
      <c r="G122" s="26"/>
      <c r="H122" s="29" t="str">
        <f aca="true">IF(OR(A122="",F122="",G122="Concluído"),"",F122-TODAY())</f>
        <v/>
      </c>
      <c r="I122" s="30" t="str">
        <f aca="false">IF(A122="","",IF(G122="Concluído","✅ Concluído",IF(F122="","⚪ Sem prazo",IF(H122&lt;0,"🔴 COBRAR · "&amp;-H122&amp;" dia(s) atrasado",IF(H122=0,"🟠 Vence HOJE",IF(H122&lt;=3,"🟠 Vence em "&amp;H122&amp;" dia(s)","🟢 No prazo"))))))</f>
        <v/>
      </c>
      <c r="J122" s="27"/>
      <c r="K122" s="26"/>
      <c r="L122" s="30" t="str">
        <f aca="true">IF(OR(A122="",G122="Concluído",F122=""),"",IF(F122&lt;=TODAY()+3,F122+ROW()/1000000,""))</f>
        <v/>
      </c>
    </row>
    <row r="123" customFormat="false" ht="15" hidden="false" customHeight="false" outlineLevel="0" collapsed="false">
      <c r="A123" s="26"/>
      <c r="B123" s="26"/>
      <c r="C123" s="27"/>
      <c r="D123" s="26"/>
      <c r="E123" s="26"/>
      <c r="F123" s="28" t="str">
        <f aca="false">IF(OR(C123="",D123=""),"",IFERROR(C123-INDEX(Listas!$B$5:$B$30,MATCH(D123,Listas!$A$5:$A$30,0)),""))</f>
        <v/>
      </c>
      <c r="G123" s="26"/>
      <c r="H123" s="29" t="str">
        <f aca="true">IF(OR(A123="",F123="",G123="Concluído"),"",F123-TODAY())</f>
        <v/>
      </c>
      <c r="I123" s="30" t="str">
        <f aca="false">IF(A123="","",IF(G123="Concluído","✅ Concluído",IF(F123="","⚪ Sem prazo",IF(H123&lt;0,"🔴 COBRAR · "&amp;-H123&amp;" dia(s) atrasado",IF(H123=0,"🟠 Vence HOJE",IF(H123&lt;=3,"🟠 Vence em "&amp;H123&amp;" dia(s)","🟢 No prazo"))))))</f>
        <v/>
      </c>
      <c r="J123" s="27"/>
      <c r="K123" s="26"/>
      <c r="L123" s="30" t="str">
        <f aca="true">IF(OR(A123="",G123="Concluído",F123=""),"",IF(F123&lt;=TODAY()+3,F123+ROW()/1000000,""))</f>
        <v/>
      </c>
    </row>
    <row r="124" customFormat="false" ht="15" hidden="false" customHeight="false" outlineLevel="0" collapsed="false">
      <c r="A124" s="26"/>
      <c r="B124" s="26"/>
      <c r="C124" s="27"/>
      <c r="D124" s="26"/>
      <c r="E124" s="26"/>
      <c r="F124" s="28" t="str">
        <f aca="false">IF(OR(C124="",D124=""),"",IFERROR(C124-INDEX(Listas!$B$5:$B$30,MATCH(D124,Listas!$A$5:$A$30,0)),""))</f>
        <v/>
      </c>
      <c r="G124" s="26"/>
      <c r="H124" s="29" t="str">
        <f aca="true">IF(OR(A124="",F124="",G124="Concluído"),"",F124-TODAY())</f>
        <v/>
      </c>
      <c r="I124" s="30" t="str">
        <f aca="false">IF(A124="","",IF(G124="Concluído","✅ Concluído",IF(F124="","⚪ Sem prazo",IF(H124&lt;0,"🔴 COBRAR · "&amp;-H124&amp;" dia(s) atrasado",IF(H124=0,"🟠 Vence HOJE",IF(H124&lt;=3,"🟠 Vence em "&amp;H124&amp;" dia(s)","🟢 No prazo"))))))</f>
        <v/>
      </c>
      <c r="J124" s="27"/>
      <c r="K124" s="26"/>
      <c r="L124" s="30" t="str">
        <f aca="true">IF(OR(A124="",G124="Concluído",F124=""),"",IF(F124&lt;=TODAY()+3,F124+ROW()/1000000,""))</f>
        <v/>
      </c>
    </row>
    <row r="125" customFormat="false" ht="15" hidden="false" customHeight="false" outlineLevel="0" collapsed="false">
      <c r="A125" s="26"/>
      <c r="B125" s="26"/>
      <c r="C125" s="27"/>
      <c r="D125" s="26"/>
      <c r="E125" s="26"/>
      <c r="F125" s="28" t="str">
        <f aca="false">IF(OR(C125="",D125=""),"",IFERROR(C125-INDEX(Listas!$B$5:$B$30,MATCH(D125,Listas!$A$5:$A$30,0)),""))</f>
        <v/>
      </c>
      <c r="G125" s="26"/>
      <c r="H125" s="29" t="str">
        <f aca="true">IF(OR(A125="",F125="",G125="Concluído"),"",F125-TODAY())</f>
        <v/>
      </c>
      <c r="I125" s="30" t="str">
        <f aca="false">IF(A125="","",IF(G125="Concluído","✅ Concluído",IF(F125="","⚪ Sem prazo",IF(H125&lt;0,"🔴 COBRAR · "&amp;-H125&amp;" dia(s) atrasado",IF(H125=0,"🟠 Vence HOJE",IF(H125&lt;=3,"🟠 Vence em "&amp;H125&amp;" dia(s)","🟢 No prazo"))))))</f>
        <v/>
      </c>
      <c r="J125" s="27"/>
      <c r="K125" s="26"/>
      <c r="L125" s="30" t="str">
        <f aca="true">IF(OR(A125="",G125="Concluído",F125=""),"",IF(F125&lt;=TODAY()+3,F125+ROW()/1000000,""))</f>
        <v/>
      </c>
    </row>
    <row r="126" customFormat="false" ht="15" hidden="false" customHeight="false" outlineLevel="0" collapsed="false">
      <c r="A126" s="26"/>
      <c r="B126" s="26"/>
      <c r="C126" s="27"/>
      <c r="D126" s="26"/>
      <c r="E126" s="26"/>
      <c r="F126" s="28" t="str">
        <f aca="false">IF(OR(C126="",D126=""),"",IFERROR(C126-INDEX(Listas!$B$5:$B$30,MATCH(D126,Listas!$A$5:$A$30,0)),""))</f>
        <v/>
      </c>
      <c r="G126" s="26"/>
      <c r="H126" s="29" t="str">
        <f aca="true">IF(OR(A126="",F126="",G126="Concluído"),"",F126-TODAY())</f>
        <v/>
      </c>
      <c r="I126" s="30" t="str">
        <f aca="false">IF(A126="","",IF(G126="Concluído","✅ Concluído",IF(F126="","⚪ Sem prazo",IF(H126&lt;0,"🔴 COBRAR · "&amp;-H126&amp;" dia(s) atrasado",IF(H126=0,"🟠 Vence HOJE",IF(H126&lt;=3,"🟠 Vence em "&amp;H126&amp;" dia(s)","🟢 No prazo"))))))</f>
        <v/>
      </c>
      <c r="J126" s="27"/>
      <c r="K126" s="26"/>
      <c r="L126" s="30" t="str">
        <f aca="true">IF(OR(A126="",G126="Concluído",F126=""),"",IF(F126&lt;=TODAY()+3,F126+ROW()/1000000,""))</f>
        <v/>
      </c>
    </row>
    <row r="127" customFormat="false" ht="15" hidden="false" customHeight="false" outlineLevel="0" collapsed="false">
      <c r="A127" s="26"/>
      <c r="B127" s="26"/>
      <c r="C127" s="27"/>
      <c r="D127" s="26"/>
      <c r="E127" s="26"/>
      <c r="F127" s="28" t="str">
        <f aca="false">IF(OR(C127="",D127=""),"",IFERROR(C127-INDEX(Listas!$B$5:$B$30,MATCH(D127,Listas!$A$5:$A$30,0)),""))</f>
        <v/>
      </c>
      <c r="G127" s="26"/>
      <c r="H127" s="29" t="str">
        <f aca="true">IF(OR(A127="",F127="",G127="Concluído"),"",F127-TODAY())</f>
        <v/>
      </c>
      <c r="I127" s="30" t="str">
        <f aca="false">IF(A127="","",IF(G127="Concluído","✅ Concluído",IF(F127="","⚪ Sem prazo",IF(H127&lt;0,"🔴 COBRAR · "&amp;-H127&amp;" dia(s) atrasado",IF(H127=0,"🟠 Vence HOJE",IF(H127&lt;=3,"🟠 Vence em "&amp;H127&amp;" dia(s)","🟢 No prazo"))))))</f>
        <v/>
      </c>
      <c r="J127" s="27"/>
      <c r="K127" s="26"/>
      <c r="L127" s="30" t="str">
        <f aca="true">IF(OR(A127="",G127="Concluído",F127=""),"",IF(F127&lt;=TODAY()+3,F127+ROW()/1000000,""))</f>
        <v/>
      </c>
    </row>
    <row r="128" customFormat="false" ht="15" hidden="false" customHeight="false" outlineLevel="0" collapsed="false">
      <c r="A128" s="26"/>
      <c r="B128" s="26"/>
      <c r="C128" s="27"/>
      <c r="D128" s="26"/>
      <c r="E128" s="26"/>
      <c r="F128" s="28" t="str">
        <f aca="false">IF(OR(C128="",D128=""),"",IFERROR(C128-INDEX(Listas!$B$5:$B$30,MATCH(D128,Listas!$A$5:$A$30,0)),""))</f>
        <v/>
      </c>
      <c r="G128" s="26"/>
      <c r="H128" s="29" t="str">
        <f aca="true">IF(OR(A128="",F128="",G128="Concluído"),"",F128-TODAY())</f>
        <v/>
      </c>
      <c r="I128" s="30" t="str">
        <f aca="false">IF(A128="","",IF(G128="Concluído","✅ Concluído",IF(F128="","⚪ Sem prazo",IF(H128&lt;0,"🔴 COBRAR · "&amp;-H128&amp;" dia(s) atrasado",IF(H128=0,"🟠 Vence HOJE",IF(H128&lt;=3,"🟠 Vence em "&amp;H128&amp;" dia(s)","🟢 No prazo"))))))</f>
        <v/>
      </c>
      <c r="J128" s="27"/>
      <c r="K128" s="26"/>
      <c r="L128" s="30" t="str">
        <f aca="true">IF(OR(A128="",G128="Concluído",F128=""),"",IF(F128&lt;=TODAY()+3,F128+ROW()/1000000,""))</f>
        <v/>
      </c>
    </row>
    <row r="129" customFormat="false" ht="15" hidden="false" customHeight="false" outlineLevel="0" collapsed="false">
      <c r="A129" s="26"/>
      <c r="B129" s="26"/>
      <c r="C129" s="27"/>
      <c r="D129" s="26"/>
      <c r="E129" s="26"/>
      <c r="F129" s="28" t="str">
        <f aca="false">IF(OR(C129="",D129=""),"",IFERROR(C129-INDEX(Listas!$B$5:$B$30,MATCH(D129,Listas!$A$5:$A$30,0)),""))</f>
        <v/>
      </c>
      <c r="G129" s="26"/>
      <c r="H129" s="29" t="str">
        <f aca="true">IF(OR(A129="",F129="",G129="Concluído"),"",F129-TODAY())</f>
        <v/>
      </c>
      <c r="I129" s="30" t="str">
        <f aca="false">IF(A129="","",IF(G129="Concluído","✅ Concluído",IF(F129="","⚪ Sem prazo",IF(H129&lt;0,"🔴 COBRAR · "&amp;-H129&amp;" dia(s) atrasado",IF(H129=0,"🟠 Vence HOJE",IF(H129&lt;=3,"🟠 Vence em "&amp;H129&amp;" dia(s)","🟢 No prazo"))))))</f>
        <v/>
      </c>
      <c r="J129" s="27"/>
      <c r="K129" s="26"/>
      <c r="L129" s="30" t="str">
        <f aca="true">IF(OR(A129="",G129="Concluído",F129=""),"",IF(F129&lt;=TODAY()+3,F129+ROW()/1000000,""))</f>
        <v/>
      </c>
    </row>
    <row r="130" customFormat="false" ht="15" hidden="false" customHeight="false" outlineLevel="0" collapsed="false">
      <c r="A130" s="26"/>
      <c r="B130" s="26"/>
      <c r="C130" s="27"/>
      <c r="D130" s="26"/>
      <c r="E130" s="26"/>
      <c r="F130" s="28" t="str">
        <f aca="false">IF(OR(C130="",D130=""),"",IFERROR(C130-INDEX(Listas!$B$5:$B$30,MATCH(D130,Listas!$A$5:$A$30,0)),""))</f>
        <v/>
      </c>
      <c r="G130" s="26"/>
      <c r="H130" s="29" t="str">
        <f aca="true">IF(OR(A130="",F130="",G130="Concluído"),"",F130-TODAY())</f>
        <v/>
      </c>
      <c r="I130" s="30" t="str">
        <f aca="false">IF(A130="","",IF(G130="Concluído","✅ Concluído",IF(F130="","⚪ Sem prazo",IF(H130&lt;0,"🔴 COBRAR · "&amp;-H130&amp;" dia(s) atrasado",IF(H130=0,"🟠 Vence HOJE",IF(H130&lt;=3,"🟠 Vence em "&amp;H130&amp;" dia(s)","🟢 No prazo"))))))</f>
        <v/>
      </c>
      <c r="J130" s="27"/>
      <c r="K130" s="26"/>
      <c r="L130" s="30" t="str">
        <f aca="true">IF(OR(A130="",G130="Concluído",F130=""),"",IF(F130&lt;=TODAY()+3,F130+ROW()/1000000,""))</f>
        <v/>
      </c>
    </row>
    <row r="131" customFormat="false" ht="15" hidden="false" customHeight="false" outlineLevel="0" collapsed="false">
      <c r="A131" s="26"/>
      <c r="B131" s="26"/>
      <c r="C131" s="27"/>
      <c r="D131" s="26"/>
      <c r="E131" s="26"/>
      <c r="F131" s="28" t="str">
        <f aca="false">IF(OR(C131="",D131=""),"",IFERROR(C131-INDEX(Listas!$B$5:$B$30,MATCH(D131,Listas!$A$5:$A$30,0)),""))</f>
        <v/>
      </c>
      <c r="G131" s="26"/>
      <c r="H131" s="29" t="str">
        <f aca="true">IF(OR(A131="",F131="",G131="Concluído"),"",F131-TODAY())</f>
        <v/>
      </c>
      <c r="I131" s="30" t="str">
        <f aca="false">IF(A131="","",IF(G131="Concluído","✅ Concluído",IF(F131="","⚪ Sem prazo",IF(H131&lt;0,"🔴 COBRAR · "&amp;-H131&amp;" dia(s) atrasado",IF(H131=0,"🟠 Vence HOJE",IF(H131&lt;=3,"🟠 Vence em "&amp;H131&amp;" dia(s)","🟢 No prazo"))))))</f>
        <v/>
      </c>
      <c r="J131" s="27"/>
      <c r="K131" s="26"/>
      <c r="L131" s="30" t="str">
        <f aca="true">IF(OR(A131="",G131="Concluído",F131=""),"",IF(F131&lt;=TODAY()+3,F131+ROW()/1000000,""))</f>
        <v/>
      </c>
    </row>
    <row r="132" customFormat="false" ht="15" hidden="false" customHeight="false" outlineLevel="0" collapsed="false">
      <c r="A132" s="26"/>
      <c r="B132" s="26"/>
      <c r="C132" s="27"/>
      <c r="D132" s="26"/>
      <c r="E132" s="26"/>
      <c r="F132" s="28" t="str">
        <f aca="false">IF(OR(C132="",D132=""),"",IFERROR(C132-INDEX(Listas!$B$5:$B$30,MATCH(D132,Listas!$A$5:$A$30,0)),""))</f>
        <v/>
      </c>
      <c r="G132" s="26"/>
      <c r="H132" s="29" t="str">
        <f aca="true">IF(OR(A132="",F132="",G132="Concluído"),"",F132-TODAY())</f>
        <v/>
      </c>
      <c r="I132" s="30" t="str">
        <f aca="false">IF(A132="","",IF(G132="Concluído","✅ Concluído",IF(F132="","⚪ Sem prazo",IF(H132&lt;0,"🔴 COBRAR · "&amp;-H132&amp;" dia(s) atrasado",IF(H132=0,"🟠 Vence HOJE",IF(H132&lt;=3,"🟠 Vence em "&amp;H132&amp;" dia(s)","🟢 No prazo"))))))</f>
        <v/>
      </c>
      <c r="J132" s="27"/>
      <c r="K132" s="26"/>
      <c r="L132" s="30" t="str">
        <f aca="true">IF(OR(A132="",G132="Concluído",F132=""),"",IF(F132&lt;=TODAY()+3,F132+ROW()/1000000,""))</f>
        <v/>
      </c>
    </row>
    <row r="133" customFormat="false" ht="15" hidden="false" customHeight="false" outlineLevel="0" collapsed="false">
      <c r="A133" s="26"/>
      <c r="B133" s="26"/>
      <c r="C133" s="27"/>
      <c r="D133" s="26"/>
      <c r="E133" s="26"/>
      <c r="F133" s="28" t="str">
        <f aca="false">IF(OR(C133="",D133=""),"",IFERROR(C133-INDEX(Listas!$B$5:$B$30,MATCH(D133,Listas!$A$5:$A$30,0)),""))</f>
        <v/>
      </c>
      <c r="G133" s="26"/>
      <c r="H133" s="29" t="str">
        <f aca="true">IF(OR(A133="",F133="",G133="Concluído"),"",F133-TODAY())</f>
        <v/>
      </c>
      <c r="I133" s="30" t="str">
        <f aca="false">IF(A133="","",IF(G133="Concluído","✅ Concluído",IF(F133="","⚪ Sem prazo",IF(H133&lt;0,"🔴 COBRAR · "&amp;-H133&amp;" dia(s) atrasado",IF(H133=0,"🟠 Vence HOJE",IF(H133&lt;=3,"🟠 Vence em "&amp;H133&amp;" dia(s)","🟢 No prazo"))))))</f>
        <v/>
      </c>
      <c r="J133" s="27"/>
      <c r="K133" s="26"/>
      <c r="L133" s="30" t="str">
        <f aca="true">IF(OR(A133="",G133="Concluído",F133=""),"",IF(F133&lt;=TODAY()+3,F133+ROW()/1000000,""))</f>
        <v/>
      </c>
    </row>
    <row r="134" customFormat="false" ht="15" hidden="false" customHeight="false" outlineLevel="0" collapsed="false">
      <c r="A134" s="26"/>
      <c r="B134" s="26"/>
      <c r="C134" s="27"/>
      <c r="D134" s="26"/>
      <c r="E134" s="26"/>
      <c r="F134" s="28" t="str">
        <f aca="false">IF(OR(C134="",D134=""),"",IFERROR(C134-INDEX(Listas!$B$5:$B$30,MATCH(D134,Listas!$A$5:$A$30,0)),""))</f>
        <v/>
      </c>
      <c r="G134" s="26"/>
      <c r="H134" s="29" t="str">
        <f aca="true">IF(OR(A134="",F134="",G134="Concluído"),"",F134-TODAY())</f>
        <v/>
      </c>
      <c r="I134" s="30" t="str">
        <f aca="false">IF(A134="","",IF(G134="Concluído","✅ Concluído",IF(F134="","⚪ Sem prazo",IF(H134&lt;0,"🔴 COBRAR · "&amp;-H134&amp;" dia(s) atrasado",IF(H134=0,"🟠 Vence HOJE",IF(H134&lt;=3,"🟠 Vence em "&amp;H134&amp;" dia(s)","🟢 No prazo"))))))</f>
        <v/>
      </c>
      <c r="J134" s="27"/>
      <c r="K134" s="26"/>
      <c r="L134" s="30" t="str">
        <f aca="true">IF(OR(A134="",G134="Concluído",F134=""),"",IF(F134&lt;=TODAY()+3,F134+ROW()/1000000,""))</f>
        <v/>
      </c>
    </row>
    <row r="135" customFormat="false" ht="15" hidden="false" customHeight="false" outlineLevel="0" collapsed="false">
      <c r="A135" s="26"/>
      <c r="B135" s="26"/>
      <c r="C135" s="27"/>
      <c r="D135" s="26"/>
      <c r="E135" s="26"/>
      <c r="F135" s="28" t="str">
        <f aca="false">IF(OR(C135="",D135=""),"",IFERROR(C135-INDEX(Listas!$B$5:$B$30,MATCH(D135,Listas!$A$5:$A$30,0)),""))</f>
        <v/>
      </c>
      <c r="G135" s="26"/>
      <c r="H135" s="29" t="str">
        <f aca="true">IF(OR(A135="",F135="",G135="Concluído"),"",F135-TODAY())</f>
        <v/>
      </c>
      <c r="I135" s="30" t="str">
        <f aca="false">IF(A135="","",IF(G135="Concluído","✅ Concluído",IF(F135="","⚪ Sem prazo",IF(H135&lt;0,"🔴 COBRAR · "&amp;-H135&amp;" dia(s) atrasado",IF(H135=0,"🟠 Vence HOJE",IF(H135&lt;=3,"🟠 Vence em "&amp;H135&amp;" dia(s)","🟢 No prazo"))))))</f>
        <v/>
      </c>
      <c r="J135" s="27"/>
      <c r="K135" s="26"/>
      <c r="L135" s="30" t="str">
        <f aca="true">IF(OR(A135="",G135="Concluído",F135=""),"",IF(F135&lt;=TODAY()+3,F135+ROW()/1000000,""))</f>
        <v/>
      </c>
    </row>
    <row r="136" customFormat="false" ht="15" hidden="false" customHeight="false" outlineLevel="0" collapsed="false">
      <c r="A136" s="26"/>
      <c r="B136" s="26"/>
      <c r="C136" s="27"/>
      <c r="D136" s="26"/>
      <c r="E136" s="26"/>
      <c r="F136" s="28" t="str">
        <f aca="false">IF(OR(C136="",D136=""),"",IFERROR(C136-INDEX(Listas!$B$5:$B$30,MATCH(D136,Listas!$A$5:$A$30,0)),""))</f>
        <v/>
      </c>
      <c r="G136" s="26"/>
      <c r="H136" s="29" t="str">
        <f aca="true">IF(OR(A136="",F136="",G136="Concluído"),"",F136-TODAY())</f>
        <v/>
      </c>
      <c r="I136" s="30" t="str">
        <f aca="false">IF(A136="","",IF(G136="Concluído","✅ Concluído",IF(F136="","⚪ Sem prazo",IF(H136&lt;0,"🔴 COBRAR · "&amp;-H136&amp;" dia(s) atrasado",IF(H136=0,"🟠 Vence HOJE",IF(H136&lt;=3,"🟠 Vence em "&amp;H136&amp;" dia(s)","🟢 No prazo"))))))</f>
        <v/>
      </c>
      <c r="J136" s="27"/>
      <c r="K136" s="26"/>
      <c r="L136" s="30" t="str">
        <f aca="true">IF(OR(A136="",G136="Concluído",F136=""),"",IF(F136&lt;=TODAY()+3,F136+ROW()/1000000,""))</f>
        <v/>
      </c>
    </row>
    <row r="137" customFormat="false" ht="15" hidden="false" customHeight="false" outlineLevel="0" collapsed="false">
      <c r="A137" s="26"/>
      <c r="B137" s="26"/>
      <c r="C137" s="27"/>
      <c r="D137" s="26"/>
      <c r="E137" s="26"/>
      <c r="F137" s="28" t="str">
        <f aca="false">IF(OR(C137="",D137=""),"",IFERROR(C137-INDEX(Listas!$B$5:$B$30,MATCH(D137,Listas!$A$5:$A$30,0)),""))</f>
        <v/>
      </c>
      <c r="G137" s="26"/>
      <c r="H137" s="29" t="str">
        <f aca="true">IF(OR(A137="",F137="",G137="Concluído"),"",F137-TODAY())</f>
        <v/>
      </c>
      <c r="I137" s="30" t="str">
        <f aca="false">IF(A137="","",IF(G137="Concluído","✅ Concluído",IF(F137="","⚪ Sem prazo",IF(H137&lt;0,"🔴 COBRAR · "&amp;-H137&amp;" dia(s) atrasado",IF(H137=0,"🟠 Vence HOJE",IF(H137&lt;=3,"🟠 Vence em "&amp;H137&amp;" dia(s)","🟢 No prazo"))))))</f>
        <v/>
      </c>
      <c r="J137" s="27"/>
      <c r="K137" s="26"/>
      <c r="L137" s="30" t="str">
        <f aca="true">IF(OR(A137="",G137="Concluído",F137=""),"",IF(F137&lt;=TODAY()+3,F137+ROW()/1000000,""))</f>
        <v/>
      </c>
    </row>
    <row r="138" customFormat="false" ht="15" hidden="false" customHeight="false" outlineLevel="0" collapsed="false">
      <c r="A138" s="26"/>
      <c r="B138" s="26"/>
      <c r="C138" s="27"/>
      <c r="D138" s="26"/>
      <c r="E138" s="26"/>
      <c r="F138" s="28" t="str">
        <f aca="false">IF(OR(C138="",D138=""),"",IFERROR(C138-INDEX(Listas!$B$5:$B$30,MATCH(D138,Listas!$A$5:$A$30,0)),""))</f>
        <v/>
      </c>
      <c r="G138" s="26"/>
      <c r="H138" s="29" t="str">
        <f aca="true">IF(OR(A138="",F138="",G138="Concluído"),"",F138-TODAY())</f>
        <v/>
      </c>
      <c r="I138" s="30" t="str">
        <f aca="false">IF(A138="","",IF(G138="Concluído","✅ Concluído",IF(F138="","⚪ Sem prazo",IF(H138&lt;0,"🔴 COBRAR · "&amp;-H138&amp;" dia(s) atrasado",IF(H138=0,"🟠 Vence HOJE",IF(H138&lt;=3,"🟠 Vence em "&amp;H138&amp;" dia(s)","🟢 No prazo"))))))</f>
        <v/>
      </c>
      <c r="J138" s="27"/>
      <c r="K138" s="26"/>
      <c r="L138" s="30" t="str">
        <f aca="true">IF(OR(A138="",G138="Concluído",F138=""),"",IF(F138&lt;=TODAY()+3,F138+ROW()/1000000,""))</f>
        <v/>
      </c>
    </row>
    <row r="139" customFormat="false" ht="15" hidden="false" customHeight="false" outlineLevel="0" collapsed="false">
      <c r="A139" s="26"/>
      <c r="B139" s="26"/>
      <c r="C139" s="27"/>
      <c r="D139" s="26"/>
      <c r="E139" s="26"/>
      <c r="F139" s="28" t="str">
        <f aca="false">IF(OR(C139="",D139=""),"",IFERROR(C139-INDEX(Listas!$B$5:$B$30,MATCH(D139,Listas!$A$5:$A$30,0)),""))</f>
        <v/>
      </c>
      <c r="G139" s="26"/>
      <c r="H139" s="29" t="str">
        <f aca="true">IF(OR(A139="",F139="",G139="Concluído"),"",F139-TODAY())</f>
        <v/>
      </c>
      <c r="I139" s="30" t="str">
        <f aca="false">IF(A139="","",IF(G139="Concluído","✅ Concluído",IF(F139="","⚪ Sem prazo",IF(H139&lt;0,"🔴 COBRAR · "&amp;-H139&amp;" dia(s) atrasado",IF(H139=0,"🟠 Vence HOJE",IF(H139&lt;=3,"🟠 Vence em "&amp;H139&amp;" dia(s)","🟢 No prazo"))))))</f>
        <v/>
      </c>
      <c r="J139" s="27"/>
      <c r="K139" s="26"/>
      <c r="L139" s="30" t="str">
        <f aca="true">IF(OR(A139="",G139="Concluído",F139=""),"",IF(F139&lt;=TODAY()+3,F139+ROW()/1000000,""))</f>
        <v/>
      </c>
    </row>
    <row r="140" customFormat="false" ht="15" hidden="false" customHeight="false" outlineLevel="0" collapsed="false">
      <c r="A140" s="26"/>
      <c r="B140" s="26"/>
      <c r="C140" s="27"/>
      <c r="D140" s="26"/>
      <c r="E140" s="26"/>
      <c r="F140" s="28" t="str">
        <f aca="false">IF(OR(C140="",D140=""),"",IFERROR(C140-INDEX(Listas!$B$5:$B$30,MATCH(D140,Listas!$A$5:$A$30,0)),""))</f>
        <v/>
      </c>
      <c r="G140" s="26"/>
      <c r="H140" s="29" t="str">
        <f aca="true">IF(OR(A140="",F140="",G140="Concluído"),"",F140-TODAY())</f>
        <v/>
      </c>
      <c r="I140" s="30" t="str">
        <f aca="false">IF(A140="","",IF(G140="Concluído","✅ Concluído",IF(F140="","⚪ Sem prazo",IF(H140&lt;0,"🔴 COBRAR · "&amp;-H140&amp;" dia(s) atrasado",IF(H140=0,"🟠 Vence HOJE",IF(H140&lt;=3,"🟠 Vence em "&amp;H140&amp;" dia(s)","🟢 No prazo"))))))</f>
        <v/>
      </c>
      <c r="J140" s="27"/>
      <c r="K140" s="26"/>
      <c r="L140" s="30" t="str">
        <f aca="true">IF(OR(A140="",G140="Concluído",F140=""),"",IF(F140&lt;=TODAY()+3,F140+ROW()/1000000,""))</f>
        <v/>
      </c>
    </row>
    <row r="141" customFormat="false" ht="15" hidden="false" customHeight="false" outlineLevel="0" collapsed="false">
      <c r="A141" s="26"/>
      <c r="B141" s="26"/>
      <c r="C141" s="27"/>
      <c r="D141" s="26"/>
      <c r="E141" s="26"/>
      <c r="F141" s="28" t="str">
        <f aca="false">IF(OR(C141="",D141=""),"",IFERROR(C141-INDEX(Listas!$B$5:$B$30,MATCH(D141,Listas!$A$5:$A$30,0)),""))</f>
        <v/>
      </c>
      <c r="G141" s="26"/>
      <c r="H141" s="29" t="str">
        <f aca="true">IF(OR(A141="",F141="",G141="Concluído"),"",F141-TODAY())</f>
        <v/>
      </c>
      <c r="I141" s="30" t="str">
        <f aca="false">IF(A141="","",IF(G141="Concluído","✅ Concluído",IF(F141="","⚪ Sem prazo",IF(H141&lt;0,"🔴 COBRAR · "&amp;-H141&amp;" dia(s) atrasado",IF(H141=0,"🟠 Vence HOJE",IF(H141&lt;=3,"🟠 Vence em "&amp;H141&amp;" dia(s)","🟢 No prazo"))))))</f>
        <v/>
      </c>
      <c r="J141" s="27"/>
      <c r="K141" s="26"/>
      <c r="L141" s="30" t="str">
        <f aca="true">IF(OR(A141="",G141="Concluído",F141=""),"",IF(F141&lt;=TODAY()+3,F141+ROW()/1000000,""))</f>
        <v/>
      </c>
    </row>
    <row r="142" customFormat="false" ht="15" hidden="false" customHeight="false" outlineLevel="0" collapsed="false">
      <c r="A142" s="26"/>
      <c r="B142" s="26"/>
      <c r="C142" s="27"/>
      <c r="D142" s="26"/>
      <c r="E142" s="26"/>
      <c r="F142" s="28" t="str">
        <f aca="false">IF(OR(C142="",D142=""),"",IFERROR(C142-INDEX(Listas!$B$5:$B$30,MATCH(D142,Listas!$A$5:$A$30,0)),""))</f>
        <v/>
      </c>
      <c r="G142" s="26"/>
      <c r="H142" s="29" t="str">
        <f aca="true">IF(OR(A142="",F142="",G142="Concluído"),"",F142-TODAY())</f>
        <v/>
      </c>
      <c r="I142" s="30" t="str">
        <f aca="false">IF(A142="","",IF(G142="Concluído","✅ Concluído",IF(F142="","⚪ Sem prazo",IF(H142&lt;0,"🔴 COBRAR · "&amp;-H142&amp;" dia(s) atrasado",IF(H142=0,"🟠 Vence HOJE",IF(H142&lt;=3,"🟠 Vence em "&amp;H142&amp;" dia(s)","🟢 No prazo"))))))</f>
        <v/>
      </c>
      <c r="J142" s="27"/>
      <c r="K142" s="26"/>
      <c r="L142" s="30" t="str">
        <f aca="true">IF(OR(A142="",G142="Concluído",F142=""),"",IF(F142&lt;=TODAY()+3,F142+ROW()/1000000,""))</f>
        <v/>
      </c>
    </row>
    <row r="143" customFormat="false" ht="15" hidden="false" customHeight="false" outlineLevel="0" collapsed="false">
      <c r="A143" s="26"/>
      <c r="B143" s="26"/>
      <c r="C143" s="27"/>
      <c r="D143" s="26"/>
      <c r="E143" s="26"/>
      <c r="F143" s="28" t="str">
        <f aca="false">IF(OR(C143="",D143=""),"",IFERROR(C143-INDEX(Listas!$B$5:$B$30,MATCH(D143,Listas!$A$5:$A$30,0)),""))</f>
        <v/>
      </c>
      <c r="G143" s="26"/>
      <c r="H143" s="29" t="str">
        <f aca="true">IF(OR(A143="",F143="",G143="Concluído"),"",F143-TODAY())</f>
        <v/>
      </c>
      <c r="I143" s="30" t="str">
        <f aca="false">IF(A143="","",IF(G143="Concluído","✅ Concluído",IF(F143="","⚪ Sem prazo",IF(H143&lt;0,"🔴 COBRAR · "&amp;-H143&amp;" dia(s) atrasado",IF(H143=0,"🟠 Vence HOJE",IF(H143&lt;=3,"🟠 Vence em "&amp;H143&amp;" dia(s)","🟢 No prazo"))))))</f>
        <v/>
      </c>
      <c r="J143" s="27"/>
      <c r="K143" s="26"/>
      <c r="L143" s="30" t="str">
        <f aca="true">IF(OR(A143="",G143="Concluído",F143=""),"",IF(F143&lt;=TODAY()+3,F143+ROW()/1000000,""))</f>
        <v/>
      </c>
    </row>
    <row r="144" customFormat="false" ht="15" hidden="false" customHeight="false" outlineLevel="0" collapsed="false">
      <c r="A144" s="26"/>
      <c r="B144" s="26"/>
      <c r="C144" s="27"/>
      <c r="D144" s="26"/>
      <c r="E144" s="26"/>
      <c r="F144" s="28" t="str">
        <f aca="false">IF(OR(C144="",D144=""),"",IFERROR(C144-INDEX(Listas!$B$5:$B$30,MATCH(D144,Listas!$A$5:$A$30,0)),""))</f>
        <v/>
      </c>
      <c r="G144" s="26"/>
      <c r="H144" s="29" t="str">
        <f aca="true">IF(OR(A144="",F144="",G144="Concluído"),"",F144-TODAY())</f>
        <v/>
      </c>
      <c r="I144" s="30" t="str">
        <f aca="false">IF(A144="","",IF(G144="Concluído","✅ Concluído",IF(F144="","⚪ Sem prazo",IF(H144&lt;0,"🔴 COBRAR · "&amp;-H144&amp;" dia(s) atrasado",IF(H144=0,"🟠 Vence HOJE",IF(H144&lt;=3,"🟠 Vence em "&amp;H144&amp;" dia(s)","🟢 No prazo"))))))</f>
        <v/>
      </c>
      <c r="J144" s="27"/>
      <c r="K144" s="26"/>
      <c r="L144" s="30" t="str">
        <f aca="true">IF(OR(A144="",G144="Concluído",F144=""),"",IF(F144&lt;=TODAY()+3,F144+ROW()/1000000,""))</f>
        <v/>
      </c>
    </row>
    <row r="145" customFormat="false" ht="15" hidden="false" customHeight="false" outlineLevel="0" collapsed="false">
      <c r="A145" s="26"/>
      <c r="B145" s="26"/>
      <c r="C145" s="27"/>
      <c r="D145" s="26"/>
      <c r="E145" s="26"/>
      <c r="F145" s="28" t="str">
        <f aca="false">IF(OR(C145="",D145=""),"",IFERROR(C145-INDEX(Listas!$B$5:$B$30,MATCH(D145,Listas!$A$5:$A$30,0)),""))</f>
        <v/>
      </c>
      <c r="G145" s="26"/>
      <c r="H145" s="29" t="str">
        <f aca="true">IF(OR(A145="",F145="",G145="Concluído"),"",F145-TODAY())</f>
        <v/>
      </c>
      <c r="I145" s="30" t="str">
        <f aca="false">IF(A145="","",IF(G145="Concluído","✅ Concluído",IF(F145="","⚪ Sem prazo",IF(H145&lt;0,"🔴 COBRAR · "&amp;-H145&amp;" dia(s) atrasado",IF(H145=0,"🟠 Vence HOJE",IF(H145&lt;=3,"🟠 Vence em "&amp;H145&amp;" dia(s)","🟢 No prazo"))))))</f>
        <v/>
      </c>
      <c r="J145" s="27"/>
      <c r="K145" s="26"/>
      <c r="L145" s="30" t="str">
        <f aca="true">IF(OR(A145="",G145="Concluído",F145=""),"",IF(F145&lt;=TODAY()+3,F145+ROW()/1000000,""))</f>
        <v/>
      </c>
    </row>
    <row r="146" customFormat="false" ht="15" hidden="false" customHeight="false" outlineLevel="0" collapsed="false">
      <c r="A146" s="26"/>
      <c r="B146" s="26"/>
      <c r="C146" s="27"/>
      <c r="D146" s="26"/>
      <c r="E146" s="26"/>
      <c r="F146" s="28" t="str">
        <f aca="false">IF(OR(C146="",D146=""),"",IFERROR(C146-INDEX(Listas!$B$5:$B$30,MATCH(D146,Listas!$A$5:$A$30,0)),""))</f>
        <v/>
      </c>
      <c r="G146" s="26"/>
      <c r="H146" s="29" t="str">
        <f aca="true">IF(OR(A146="",F146="",G146="Concluído"),"",F146-TODAY())</f>
        <v/>
      </c>
      <c r="I146" s="30" t="str">
        <f aca="false">IF(A146="","",IF(G146="Concluído","✅ Concluído",IF(F146="","⚪ Sem prazo",IF(H146&lt;0,"🔴 COBRAR · "&amp;-H146&amp;" dia(s) atrasado",IF(H146=0,"🟠 Vence HOJE",IF(H146&lt;=3,"🟠 Vence em "&amp;H146&amp;" dia(s)","🟢 No prazo"))))))</f>
        <v/>
      </c>
      <c r="J146" s="27"/>
      <c r="K146" s="26"/>
      <c r="L146" s="30" t="str">
        <f aca="true">IF(OR(A146="",G146="Concluído",F146=""),"",IF(F146&lt;=TODAY()+3,F146+ROW()/1000000,""))</f>
        <v/>
      </c>
    </row>
    <row r="147" customFormat="false" ht="15" hidden="false" customHeight="false" outlineLevel="0" collapsed="false">
      <c r="A147" s="26"/>
      <c r="B147" s="26"/>
      <c r="C147" s="27"/>
      <c r="D147" s="26"/>
      <c r="E147" s="26"/>
      <c r="F147" s="28" t="str">
        <f aca="false">IF(OR(C147="",D147=""),"",IFERROR(C147-INDEX(Listas!$B$5:$B$30,MATCH(D147,Listas!$A$5:$A$30,0)),""))</f>
        <v/>
      </c>
      <c r="G147" s="26"/>
      <c r="H147" s="29" t="str">
        <f aca="true">IF(OR(A147="",F147="",G147="Concluído"),"",F147-TODAY())</f>
        <v/>
      </c>
      <c r="I147" s="30" t="str">
        <f aca="false">IF(A147="","",IF(G147="Concluído","✅ Concluído",IF(F147="","⚪ Sem prazo",IF(H147&lt;0,"🔴 COBRAR · "&amp;-H147&amp;" dia(s) atrasado",IF(H147=0,"🟠 Vence HOJE",IF(H147&lt;=3,"🟠 Vence em "&amp;H147&amp;" dia(s)","🟢 No prazo"))))))</f>
        <v/>
      </c>
      <c r="J147" s="27"/>
      <c r="K147" s="26"/>
      <c r="L147" s="30" t="str">
        <f aca="true">IF(OR(A147="",G147="Concluído",F147=""),"",IF(F147&lt;=TODAY()+3,F147+ROW()/1000000,""))</f>
        <v/>
      </c>
    </row>
    <row r="148" customFormat="false" ht="15" hidden="false" customHeight="false" outlineLevel="0" collapsed="false">
      <c r="A148" s="26"/>
      <c r="B148" s="26"/>
      <c r="C148" s="27"/>
      <c r="D148" s="26"/>
      <c r="E148" s="26"/>
      <c r="F148" s="28" t="str">
        <f aca="false">IF(OR(C148="",D148=""),"",IFERROR(C148-INDEX(Listas!$B$5:$B$30,MATCH(D148,Listas!$A$5:$A$30,0)),""))</f>
        <v/>
      </c>
      <c r="G148" s="26"/>
      <c r="H148" s="29" t="str">
        <f aca="true">IF(OR(A148="",F148="",G148="Concluído"),"",F148-TODAY())</f>
        <v/>
      </c>
      <c r="I148" s="30" t="str">
        <f aca="false">IF(A148="","",IF(G148="Concluído","✅ Concluído",IF(F148="","⚪ Sem prazo",IF(H148&lt;0,"🔴 COBRAR · "&amp;-H148&amp;" dia(s) atrasado",IF(H148=0,"🟠 Vence HOJE",IF(H148&lt;=3,"🟠 Vence em "&amp;H148&amp;" dia(s)","🟢 No prazo"))))))</f>
        <v/>
      </c>
      <c r="J148" s="27"/>
      <c r="K148" s="26"/>
      <c r="L148" s="30" t="str">
        <f aca="true">IF(OR(A148="",G148="Concluído",F148=""),"",IF(F148&lt;=TODAY()+3,F148+ROW()/1000000,""))</f>
        <v/>
      </c>
    </row>
    <row r="149" customFormat="false" ht="15" hidden="false" customHeight="false" outlineLevel="0" collapsed="false">
      <c r="A149" s="26"/>
      <c r="B149" s="26"/>
      <c r="C149" s="27"/>
      <c r="D149" s="26"/>
      <c r="E149" s="26"/>
      <c r="F149" s="28" t="str">
        <f aca="false">IF(OR(C149="",D149=""),"",IFERROR(C149-INDEX(Listas!$B$5:$B$30,MATCH(D149,Listas!$A$5:$A$30,0)),""))</f>
        <v/>
      </c>
      <c r="G149" s="26"/>
      <c r="H149" s="29" t="str">
        <f aca="true">IF(OR(A149="",F149="",G149="Concluído"),"",F149-TODAY())</f>
        <v/>
      </c>
      <c r="I149" s="30" t="str">
        <f aca="false">IF(A149="","",IF(G149="Concluído","✅ Concluído",IF(F149="","⚪ Sem prazo",IF(H149&lt;0,"🔴 COBRAR · "&amp;-H149&amp;" dia(s) atrasado",IF(H149=0,"🟠 Vence HOJE",IF(H149&lt;=3,"🟠 Vence em "&amp;H149&amp;" dia(s)","🟢 No prazo"))))))</f>
        <v/>
      </c>
      <c r="J149" s="27"/>
      <c r="K149" s="26"/>
      <c r="L149" s="30" t="str">
        <f aca="true">IF(OR(A149="",G149="Concluído",F149=""),"",IF(F149&lt;=TODAY()+3,F149+ROW()/1000000,""))</f>
        <v/>
      </c>
    </row>
    <row r="150" customFormat="false" ht="15" hidden="false" customHeight="false" outlineLevel="0" collapsed="false">
      <c r="A150" s="26"/>
      <c r="B150" s="26"/>
      <c r="C150" s="27"/>
      <c r="D150" s="26"/>
      <c r="E150" s="26"/>
      <c r="F150" s="28" t="str">
        <f aca="false">IF(OR(C150="",D150=""),"",IFERROR(C150-INDEX(Listas!$B$5:$B$30,MATCH(D150,Listas!$A$5:$A$30,0)),""))</f>
        <v/>
      </c>
      <c r="G150" s="26"/>
      <c r="H150" s="29" t="str">
        <f aca="true">IF(OR(A150="",F150="",G150="Concluído"),"",F150-TODAY())</f>
        <v/>
      </c>
      <c r="I150" s="30" t="str">
        <f aca="false">IF(A150="","",IF(G150="Concluído","✅ Concluído",IF(F150="","⚪ Sem prazo",IF(H150&lt;0,"🔴 COBRAR · "&amp;-H150&amp;" dia(s) atrasado",IF(H150=0,"🟠 Vence HOJE",IF(H150&lt;=3,"🟠 Vence em "&amp;H150&amp;" dia(s)","🟢 No prazo"))))))</f>
        <v/>
      </c>
      <c r="J150" s="27"/>
      <c r="K150" s="26"/>
      <c r="L150" s="30" t="str">
        <f aca="true">IF(OR(A150="",G150="Concluído",F150=""),"",IF(F150&lt;=TODAY()+3,F150+ROW()/1000000,""))</f>
        <v/>
      </c>
    </row>
    <row r="151" customFormat="false" ht="15" hidden="false" customHeight="false" outlineLevel="0" collapsed="false">
      <c r="A151" s="26"/>
      <c r="B151" s="26"/>
      <c r="C151" s="27"/>
      <c r="D151" s="26"/>
      <c r="E151" s="26"/>
      <c r="F151" s="28" t="str">
        <f aca="false">IF(OR(C151="",D151=""),"",IFERROR(C151-INDEX(Listas!$B$5:$B$30,MATCH(D151,Listas!$A$5:$A$30,0)),""))</f>
        <v/>
      </c>
      <c r="G151" s="26"/>
      <c r="H151" s="29" t="str">
        <f aca="true">IF(OR(A151="",F151="",G151="Concluído"),"",F151-TODAY())</f>
        <v/>
      </c>
      <c r="I151" s="30" t="str">
        <f aca="false">IF(A151="","",IF(G151="Concluído","✅ Concluído",IF(F151="","⚪ Sem prazo",IF(H151&lt;0,"🔴 COBRAR · "&amp;-H151&amp;" dia(s) atrasado",IF(H151=0,"🟠 Vence HOJE",IF(H151&lt;=3,"🟠 Vence em "&amp;H151&amp;" dia(s)","🟢 No prazo"))))))</f>
        <v/>
      </c>
      <c r="J151" s="27"/>
      <c r="K151" s="26"/>
      <c r="L151" s="30" t="str">
        <f aca="true">IF(OR(A151="",G151="Concluído",F151=""),"",IF(F151&lt;=TODAY()+3,F151+ROW()/1000000,""))</f>
        <v/>
      </c>
    </row>
    <row r="152" customFormat="false" ht="15" hidden="false" customHeight="false" outlineLevel="0" collapsed="false">
      <c r="A152" s="26"/>
      <c r="B152" s="26"/>
      <c r="C152" s="27"/>
      <c r="D152" s="26"/>
      <c r="E152" s="26"/>
      <c r="F152" s="28" t="str">
        <f aca="false">IF(OR(C152="",D152=""),"",IFERROR(C152-INDEX(Listas!$B$5:$B$30,MATCH(D152,Listas!$A$5:$A$30,0)),""))</f>
        <v/>
      </c>
      <c r="G152" s="26"/>
      <c r="H152" s="29" t="str">
        <f aca="true">IF(OR(A152="",F152="",G152="Concluído"),"",F152-TODAY())</f>
        <v/>
      </c>
      <c r="I152" s="30" t="str">
        <f aca="false">IF(A152="","",IF(G152="Concluído","✅ Concluído",IF(F152="","⚪ Sem prazo",IF(H152&lt;0,"🔴 COBRAR · "&amp;-H152&amp;" dia(s) atrasado",IF(H152=0,"🟠 Vence HOJE",IF(H152&lt;=3,"🟠 Vence em "&amp;H152&amp;" dia(s)","🟢 No prazo"))))))</f>
        <v/>
      </c>
      <c r="J152" s="27"/>
      <c r="K152" s="26"/>
      <c r="L152" s="30" t="str">
        <f aca="true">IF(OR(A152="",G152="Concluído",F152=""),"",IF(F152&lt;=TODAY()+3,F152+ROW()/1000000,""))</f>
        <v/>
      </c>
    </row>
    <row r="153" customFormat="false" ht="15" hidden="false" customHeight="false" outlineLevel="0" collapsed="false">
      <c r="A153" s="26"/>
      <c r="B153" s="26"/>
      <c r="C153" s="27"/>
      <c r="D153" s="26"/>
      <c r="E153" s="26"/>
      <c r="F153" s="28" t="str">
        <f aca="false">IF(OR(C153="",D153=""),"",IFERROR(C153-INDEX(Listas!$B$5:$B$30,MATCH(D153,Listas!$A$5:$A$30,0)),""))</f>
        <v/>
      </c>
      <c r="G153" s="26"/>
      <c r="H153" s="29" t="str">
        <f aca="true">IF(OR(A153="",F153="",G153="Concluído"),"",F153-TODAY())</f>
        <v/>
      </c>
      <c r="I153" s="30" t="str">
        <f aca="false">IF(A153="","",IF(G153="Concluído","✅ Concluído",IF(F153="","⚪ Sem prazo",IF(H153&lt;0,"🔴 COBRAR · "&amp;-H153&amp;" dia(s) atrasado",IF(H153=0,"🟠 Vence HOJE",IF(H153&lt;=3,"🟠 Vence em "&amp;H153&amp;" dia(s)","🟢 No prazo"))))))</f>
        <v/>
      </c>
      <c r="J153" s="27"/>
      <c r="K153" s="26"/>
      <c r="L153" s="30" t="str">
        <f aca="true">IF(OR(A153="",G153="Concluído",F153=""),"",IF(F153&lt;=TODAY()+3,F153+ROW()/1000000,""))</f>
        <v/>
      </c>
    </row>
    <row r="154" customFormat="false" ht="15" hidden="false" customHeight="false" outlineLevel="0" collapsed="false">
      <c r="A154" s="26"/>
      <c r="B154" s="26"/>
      <c r="C154" s="27"/>
      <c r="D154" s="26"/>
      <c r="E154" s="26"/>
      <c r="F154" s="28" t="str">
        <f aca="false">IF(OR(C154="",D154=""),"",IFERROR(C154-INDEX(Listas!$B$5:$B$30,MATCH(D154,Listas!$A$5:$A$30,0)),""))</f>
        <v/>
      </c>
      <c r="G154" s="26"/>
      <c r="H154" s="29" t="str">
        <f aca="true">IF(OR(A154="",F154="",G154="Concluído"),"",F154-TODAY())</f>
        <v/>
      </c>
      <c r="I154" s="30" t="str">
        <f aca="false">IF(A154="","",IF(G154="Concluído","✅ Concluído",IF(F154="","⚪ Sem prazo",IF(H154&lt;0,"🔴 COBRAR · "&amp;-H154&amp;" dia(s) atrasado",IF(H154=0,"🟠 Vence HOJE",IF(H154&lt;=3,"🟠 Vence em "&amp;H154&amp;" dia(s)","🟢 No prazo"))))))</f>
        <v/>
      </c>
      <c r="J154" s="27"/>
      <c r="K154" s="26"/>
      <c r="L154" s="30" t="str">
        <f aca="true">IF(OR(A154="",G154="Concluído",F154=""),"",IF(F154&lt;=TODAY()+3,F154+ROW()/1000000,""))</f>
        <v/>
      </c>
    </row>
    <row r="155" customFormat="false" ht="15" hidden="false" customHeight="false" outlineLevel="0" collapsed="false">
      <c r="A155" s="26"/>
      <c r="B155" s="26"/>
      <c r="C155" s="27"/>
      <c r="D155" s="26"/>
      <c r="E155" s="26"/>
      <c r="F155" s="28" t="str">
        <f aca="false">IF(OR(C155="",D155=""),"",IFERROR(C155-INDEX(Listas!$B$5:$B$30,MATCH(D155,Listas!$A$5:$A$30,0)),""))</f>
        <v/>
      </c>
      <c r="G155" s="26"/>
      <c r="H155" s="29" t="str">
        <f aca="true">IF(OR(A155="",F155="",G155="Concluído"),"",F155-TODAY())</f>
        <v/>
      </c>
      <c r="I155" s="30" t="str">
        <f aca="false">IF(A155="","",IF(G155="Concluído","✅ Concluído",IF(F155="","⚪ Sem prazo",IF(H155&lt;0,"🔴 COBRAR · "&amp;-H155&amp;" dia(s) atrasado",IF(H155=0,"🟠 Vence HOJE",IF(H155&lt;=3,"🟠 Vence em "&amp;H155&amp;" dia(s)","🟢 No prazo"))))))</f>
        <v/>
      </c>
      <c r="J155" s="27"/>
      <c r="K155" s="26"/>
      <c r="L155" s="30" t="str">
        <f aca="true">IF(OR(A155="",G155="Concluído",F155=""),"",IF(F155&lt;=TODAY()+3,F155+ROW()/1000000,""))</f>
        <v/>
      </c>
    </row>
    <row r="156" customFormat="false" ht="15" hidden="false" customHeight="false" outlineLevel="0" collapsed="false">
      <c r="A156" s="26"/>
      <c r="B156" s="26"/>
      <c r="C156" s="27"/>
      <c r="D156" s="26"/>
      <c r="E156" s="26"/>
      <c r="F156" s="28" t="str">
        <f aca="false">IF(OR(C156="",D156=""),"",IFERROR(C156-INDEX(Listas!$B$5:$B$30,MATCH(D156,Listas!$A$5:$A$30,0)),""))</f>
        <v/>
      </c>
      <c r="G156" s="26"/>
      <c r="H156" s="29" t="str">
        <f aca="true">IF(OR(A156="",F156="",G156="Concluído"),"",F156-TODAY())</f>
        <v/>
      </c>
      <c r="I156" s="30" t="str">
        <f aca="false">IF(A156="","",IF(G156="Concluído","✅ Concluído",IF(F156="","⚪ Sem prazo",IF(H156&lt;0,"🔴 COBRAR · "&amp;-H156&amp;" dia(s) atrasado",IF(H156=0,"🟠 Vence HOJE",IF(H156&lt;=3,"🟠 Vence em "&amp;H156&amp;" dia(s)","🟢 No prazo"))))))</f>
        <v/>
      </c>
      <c r="J156" s="27"/>
      <c r="K156" s="26"/>
      <c r="L156" s="30" t="str">
        <f aca="true">IF(OR(A156="",G156="Concluído",F156=""),"",IF(F156&lt;=TODAY()+3,F156+ROW()/1000000,""))</f>
        <v/>
      </c>
    </row>
    <row r="157" customFormat="false" ht="15" hidden="false" customHeight="false" outlineLevel="0" collapsed="false">
      <c r="A157" s="26"/>
      <c r="B157" s="26"/>
      <c r="C157" s="27"/>
      <c r="D157" s="26"/>
      <c r="E157" s="26"/>
      <c r="F157" s="28" t="str">
        <f aca="false">IF(OR(C157="",D157=""),"",IFERROR(C157-INDEX(Listas!$B$5:$B$30,MATCH(D157,Listas!$A$5:$A$30,0)),""))</f>
        <v/>
      </c>
      <c r="G157" s="26"/>
      <c r="H157" s="29" t="str">
        <f aca="true">IF(OR(A157="",F157="",G157="Concluído"),"",F157-TODAY())</f>
        <v/>
      </c>
      <c r="I157" s="30" t="str">
        <f aca="false">IF(A157="","",IF(G157="Concluído","✅ Concluído",IF(F157="","⚪ Sem prazo",IF(H157&lt;0,"🔴 COBRAR · "&amp;-H157&amp;" dia(s) atrasado",IF(H157=0,"🟠 Vence HOJE",IF(H157&lt;=3,"🟠 Vence em "&amp;H157&amp;" dia(s)","🟢 No prazo"))))))</f>
        <v/>
      </c>
      <c r="J157" s="27"/>
      <c r="K157" s="26"/>
      <c r="L157" s="30" t="str">
        <f aca="true">IF(OR(A157="",G157="Concluído",F157=""),"",IF(F157&lt;=TODAY()+3,F157+ROW()/1000000,""))</f>
        <v/>
      </c>
    </row>
    <row r="158" customFormat="false" ht="15" hidden="false" customHeight="false" outlineLevel="0" collapsed="false">
      <c r="A158" s="26"/>
      <c r="B158" s="26"/>
      <c r="C158" s="27"/>
      <c r="D158" s="26"/>
      <c r="E158" s="26"/>
      <c r="F158" s="28" t="str">
        <f aca="false">IF(OR(C158="",D158=""),"",IFERROR(C158-INDEX(Listas!$B$5:$B$30,MATCH(D158,Listas!$A$5:$A$30,0)),""))</f>
        <v/>
      </c>
      <c r="G158" s="26"/>
      <c r="H158" s="29" t="str">
        <f aca="true">IF(OR(A158="",F158="",G158="Concluído"),"",F158-TODAY())</f>
        <v/>
      </c>
      <c r="I158" s="30" t="str">
        <f aca="false">IF(A158="","",IF(G158="Concluído","✅ Concluído",IF(F158="","⚪ Sem prazo",IF(H158&lt;0,"🔴 COBRAR · "&amp;-H158&amp;" dia(s) atrasado",IF(H158=0,"🟠 Vence HOJE",IF(H158&lt;=3,"🟠 Vence em "&amp;H158&amp;" dia(s)","🟢 No prazo"))))))</f>
        <v/>
      </c>
      <c r="J158" s="27"/>
      <c r="K158" s="26"/>
      <c r="L158" s="30" t="str">
        <f aca="true">IF(OR(A158="",G158="Concluído",F158=""),"",IF(F158&lt;=TODAY()+3,F158+ROW()/1000000,""))</f>
        <v/>
      </c>
    </row>
    <row r="159" customFormat="false" ht="15" hidden="false" customHeight="false" outlineLevel="0" collapsed="false">
      <c r="A159" s="26"/>
      <c r="B159" s="26"/>
      <c r="C159" s="27"/>
      <c r="D159" s="26"/>
      <c r="E159" s="26"/>
      <c r="F159" s="28" t="str">
        <f aca="false">IF(OR(C159="",D159=""),"",IFERROR(C159-INDEX(Listas!$B$5:$B$30,MATCH(D159,Listas!$A$5:$A$30,0)),""))</f>
        <v/>
      </c>
      <c r="G159" s="26"/>
      <c r="H159" s="29" t="str">
        <f aca="true">IF(OR(A159="",F159="",G159="Concluído"),"",F159-TODAY())</f>
        <v/>
      </c>
      <c r="I159" s="30" t="str">
        <f aca="false">IF(A159="","",IF(G159="Concluído","✅ Concluído",IF(F159="","⚪ Sem prazo",IF(H159&lt;0,"🔴 COBRAR · "&amp;-H159&amp;" dia(s) atrasado",IF(H159=0,"🟠 Vence HOJE",IF(H159&lt;=3,"🟠 Vence em "&amp;H159&amp;" dia(s)","🟢 No prazo"))))))</f>
        <v/>
      </c>
      <c r="J159" s="27"/>
      <c r="K159" s="26"/>
      <c r="L159" s="30" t="str">
        <f aca="true">IF(OR(A159="",G159="Concluído",F159=""),"",IF(F159&lt;=TODAY()+3,F159+ROW()/1000000,""))</f>
        <v/>
      </c>
    </row>
    <row r="160" customFormat="false" ht="15" hidden="false" customHeight="false" outlineLevel="0" collapsed="false">
      <c r="A160" s="26"/>
      <c r="B160" s="26"/>
      <c r="C160" s="27"/>
      <c r="D160" s="26"/>
      <c r="E160" s="26"/>
      <c r="F160" s="28" t="str">
        <f aca="false">IF(OR(C160="",D160=""),"",IFERROR(C160-INDEX(Listas!$B$5:$B$30,MATCH(D160,Listas!$A$5:$A$30,0)),""))</f>
        <v/>
      </c>
      <c r="G160" s="26"/>
      <c r="H160" s="29" t="str">
        <f aca="true">IF(OR(A160="",F160="",G160="Concluído"),"",F160-TODAY())</f>
        <v/>
      </c>
      <c r="I160" s="30" t="str">
        <f aca="false">IF(A160="","",IF(G160="Concluído","✅ Concluído",IF(F160="","⚪ Sem prazo",IF(H160&lt;0,"🔴 COBRAR · "&amp;-H160&amp;" dia(s) atrasado",IF(H160=0,"🟠 Vence HOJE",IF(H160&lt;=3,"🟠 Vence em "&amp;H160&amp;" dia(s)","🟢 No prazo"))))))</f>
        <v/>
      </c>
      <c r="J160" s="27"/>
      <c r="K160" s="26"/>
      <c r="L160" s="30" t="str">
        <f aca="true">IF(OR(A160="",G160="Concluído",F160=""),"",IF(F160&lt;=TODAY()+3,F160+ROW()/1000000,""))</f>
        <v/>
      </c>
    </row>
    <row r="161" customFormat="false" ht="15" hidden="false" customHeight="false" outlineLevel="0" collapsed="false">
      <c r="A161" s="26"/>
      <c r="B161" s="26"/>
      <c r="C161" s="27"/>
      <c r="D161" s="26"/>
      <c r="E161" s="26"/>
      <c r="F161" s="28" t="str">
        <f aca="false">IF(OR(C161="",D161=""),"",IFERROR(C161-INDEX(Listas!$B$5:$B$30,MATCH(D161,Listas!$A$5:$A$30,0)),""))</f>
        <v/>
      </c>
      <c r="G161" s="26"/>
      <c r="H161" s="29" t="str">
        <f aca="true">IF(OR(A161="",F161="",G161="Concluído"),"",F161-TODAY())</f>
        <v/>
      </c>
      <c r="I161" s="30" t="str">
        <f aca="false">IF(A161="","",IF(G161="Concluído","✅ Concluído",IF(F161="","⚪ Sem prazo",IF(H161&lt;0,"🔴 COBRAR · "&amp;-H161&amp;" dia(s) atrasado",IF(H161=0,"🟠 Vence HOJE",IF(H161&lt;=3,"🟠 Vence em "&amp;H161&amp;" dia(s)","🟢 No prazo"))))))</f>
        <v/>
      </c>
      <c r="J161" s="27"/>
      <c r="K161" s="26"/>
      <c r="L161" s="30" t="str">
        <f aca="true">IF(OR(A161="",G161="Concluído",F161=""),"",IF(F161&lt;=TODAY()+3,F161+ROW()/1000000,""))</f>
        <v/>
      </c>
    </row>
    <row r="162" customFormat="false" ht="15" hidden="false" customHeight="false" outlineLevel="0" collapsed="false">
      <c r="A162" s="26"/>
      <c r="B162" s="26"/>
      <c r="C162" s="27"/>
      <c r="D162" s="26"/>
      <c r="E162" s="26"/>
      <c r="F162" s="28" t="str">
        <f aca="false">IF(OR(C162="",D162=""),"",IFERROR(C162-INDEX(Listas!$B$5:$B$30,MATCH(D162,Listas!$A$5:$A$30,0)),""))</f>
        <v/>
      </c>
      <c r="G162" s="26"/>
      <c r="H162" s="29" t="str">
        <f aca="true">IF(OR(A162="",F162="",G162="Concluído"),"",F162-TODAY())</f>
        <v/>
      </c>
      <c r="I162" s="30" t="str">
        <f aca="false">IF(A162="","",IF(G162="Concluído","✅ Concluído",IF(F162="","⚪ Sem prazo",IF(H162&lt;0,"🔴 COBRAR · "&amp;-H162&amp;" dia(s) atrasado",IF(H162=0,"🟠 Vence HOJE",IF(H162&lt;=3,"🟠 Vence em "&amp;H162&amp;" dia(s)","🟢 No prazo"))))))</f>
        <v/>
      </c>
      <c r="J162" s="27"/>
      <c r="K162" s="26"/>
      <c r="L162" s="30" t="str">
        <f aca="true">IF(OR(A162="",G162="Concluído",F162=""),"",IF(F162&lt;=TODAY()+3,F162+ROW()/1000000,""))</f>
        <v/>
      </c>
    </row>
    <row r="163" customFormat="false" ht="15" hidden="false" customHeight="false" outlineLevel="0" collapsed="false">
      <c r="A163" s="26"/>
      <c r="B163" s="26"/>
      <c r="C163" s="27"/>
      <c r="D163" s="26"/>
      <c r="E163" s="26"/>
      <c r="F163" s="28" t="str">
        <f aca="false">IF(OR(C163="",D163=""),"",IFERROR(C163-INDEX(Listas!$B$5:$B$30,MATCH(D163,Listas!$A$5:$A$30,0)),""))</f>
        <v/>
      </c>
      <c r="G163" s="26"/>
      <c r="H163" s="29" t="str">
        <f aca="true">IF(OR(A163="",F163="",G163="Concluído"),"",F163-TODAY())</f>
        <v/>
      </c>
      <c r="I163" s="30" t="str">
        <f aca="false">IF(A163="","",IF(G163="Concluído","✅ Concluído",IF(F163="","⚪ Sem prazo",IF(H163&lt;0,"🔴 COBRAR · "&amp;-H163&amp;" dia(s) atrasado",IF(H163=0,"🟠 Vence HOJE",IF(H163&lt;=3,"🟠 Vence em "&amp;H163&amp;" dia(s)","🟢 No prazo"))))))</f>
        <v/>
      </c>
      <c r="J163" s="27"/>
      <c r="K163" s="26"/>
      <c r="L163" s="30" t="str">
        <f aca="true">IF(OR(A163="",G163="Concluído",F163=""),"",IF(F163&lt;=TODAY()+3,F163+ROW()/1000000,""))</f>
        <v/>
      </c>
    </row>
    <row r="164" customFormat="false" ht="15" hidden="false" customHeight="false" outlineLevel="0" collapsed="false">
      <c r="A164" s="26"/>
      <c r="B164" s="26"/>
      <c r="C164" s="27"/>
      <c r="D164" s="26"/>
      <c r="E164" s="26"/>
      <c r="F164" s="28" t="str">
        <f aca="false">IF(OR(C164="",D164=""),"",IFERROR(C164-INDEX(Listas!$B$5:$B$30,MATCH(D164,Listas!$A$5:$A$30,0)),""))</f>
        <v/>
      </c>
      <c r="G164" s="26"/>
      <c r="H164" s="29" t="str">
        <f aca="true">IF(OR(A164="",F164="",G164="Concluído"),"",F164-TODAY())</f>
        <v/>
      </c>
      <c r="I164" s="30" t="str">
        <f aca="false">IF(A164="","",IF(G164="Concluído","✅ Concluído",IF(F164="","⚪ Sem prazo",IF(H164&lt;0,"🔴 COBRAR · "&amp;-H164&amp;" dia(s) atrasado",IF(H164=0,"🟠 Vence HOJE",IF(H164&lt;=3,"🟠 Vence em "&amp;H164&amp;" dia(s)","🟢 No prazo"))))))</f>
        <v/>
      </c>
      <c r="J164" s="27"/>
      <c r="K164" s="26"/>
      <c r="L164" s="30" t="str">
        <f aca="true">IF(OR(A164="",G164="Concluído",F164=""),"",IF(F164&lt;=TODAY()+3,F164+ROW()/1000000,""))</f>
        <v/>
      </c>
    </row>
    <row r="165" customFormat="false" ht="15" hidden="false" customHeight="false" outlineLevel="0" collapsed="false">
      <c r="A165" s="26"/>
      <c r="B165" s="26"/>
      <c r="C165" s="27"/>
      <c r="D165" s="26"/>
      <c r="E165" s="26"/>
      <c r="F165" s="28" t="str">
        <f aca="false">IF(OR(C165="",D165=""),"",IFERROR(C165-INDEX(Listas!$B$5:$B$30,MATCH(D165,Listas!$A$5:$A$30,0)),""))</f>
        <v/>
      </c>
      <c r="G165" s="26"/>
      <c r="H165" s="29" t="str">
        <f aca="true">IF(OR(A165="",F165="",G165="Concluído"),"",F165-TODAY())</f>
        <v/>
      </c>
      <c r="I165" s="30" t="str">
        <f aca="false">IF(A165="","",IF(G165="Concluído","✅ Concluído",IF(F165="","⚪ Sem prazo",IF(H165&lt;0,"🔴 COBRAR · "&amp;-H165&amp;" dia(s) atrasado",IF(H165=0,"🟠 Vence HOJE",IF(H165&lt;=3,"🟠 Vence em "&amp;H165&amp;" dia(s)","🟢 No prazo"))))))</f>
        <v/>
      </c>
      <c r="J165" s="27"/>
      <c r="K165" s="26"/>
      <c r="L165" s="30" t="str">
        <f aca="true">IF(OR(A165="",G165="Concluído",F165=""),"",IF(F165&lt;=TODAY()+3,F165+ROW()/1000000,""))</f>
        <v/>
      </c>
    </row>
    <row r="166" customFormat="false" ht="15" hidden="false" customHeight="false" outlineLevel="0" collapsed="false">
      <c r="A166" s="26"/>
      <c r="B166" s="26"/>
      <c r="C166" s="27"/>
      <c r="D166" s="26"/>
      <c r="E166" s="26"/>
      <c r="F166" s="28" t="str">
        <f aca="false">IF(OR(C166="",D166=""),"",IFERROR(C166-INDEX(Listas!$B$5:$B$30,MATCH(D166,Listas!$A$5:$A$30,0)),""))</f>
        <v/>
      </c>
      <c r="G166" s="26"/>
      <c r="H166" s="29" t="str">
        <f aca="true">IF(OR(A166="",F166="",G166="Concluído"),"",F166-TODAY())</f>
        <v/>
      </c>
      <c r="I166" s="30" t="str">
        <f aca="false">IF(A166="","",IF(G166="Concluído","✅ Concluído",IF(F166="","⚪ Sem prazo",IF(H166&lt;0,"🔴 COBRAR · "&amp;-H166&amp;" dia(s) atrasado",IF(H166=0,"🟠 Vence HOJE",IF(H166&lt;=3,"🟠 Vence em "&amp;H166&amp;" dia(s)","🟢 No prazo"))))))</f>
        <v/>
      </c>
      <c r="J166" s="27"/>
      <c r="K166" s="26"/>
      <c r="L166" s="30" t="str">
        <f aca="true">IF(OR(A166="",G166="Concluído",F166=""),"",IF(F166&lt;=TODAY()+3,F166+ROW()/1000000,""))</f>
        <v/>
      </c>
    </row>
    <row r="167" customFormat="false" ht="15" hidden="false" customHeight="false" outlineLevel="0" collapsed="false">
      <c r="A167" s="26"/>
      <c r="B167" s="26"/>
      <c r="C167" s="27"/>
      <c r="D167" s="26"/>
      <c r="E167" s="26"/>
      <c r="F167" s="28" t="str">
        <f aca="false">IF(OR(C167="",D167=""),"",IFERROR(C167-INDEX(Listas!$B$5:$B$30,MATCH(D167,Listas!$A$5:$A$30,0)),""))</f>
        <v/>
      </c>
      <c r="G167" s="26"/>
      <c r="H167" s="29" t="str">
        <f aca="true">IF(OR(A167="",F167="",G167="Concluído"),"",F167-TODAY())</f>
        <v/>
      </c>
      <c r="I167" s="30" t="str">
        <f aca="false">IF(A167="","",IF(G167="Concluído","✅ Concluído",IF(F167="","⚪ Sem prazo",IF(H167&lt;0,"🔴 COBRAR · "&amp;-H167&amp;" dia(s) atrasado",IF(H167=0,"🟠 Vence HOJE",IF(H167&lt;=3,"🟠 Vence em "&amp;H167&amp;" dia(s)","🟢 No prazo"))))))</f>
        <v/>
      </c>
      <c r="J167" s="27"/>
      <c r="K167" s="26"/>
      <c r="L167" s="30" t="str">
        <f aca="true">IF(OR(A167="",G167="Concluído",F167=""),"",IF(F167&lt;=TODAY()+3,F167+ROW()/1000000,""))</f>
        <v/>
      </c>
    </row>
    <row r="168" customFormat="false" ht="15" hidden="false" customHeight="false" outlineLevel="0" collapsed="false">
      <c r="A168" s="26"/>
      <c r="B168" s="26"/>
      <c r="C168" s="27"/>
      <c r="D168" s="26"/>
      <c r="E168" s="26"/>
      <c r="F168" s="28" t="str">
        <f aca="false">IF(OR(C168="",D168=""),"",IFERROR(C168-INDEX(Listas!$B$5:$B$30,MATCH(D168,Listas!$A$5:$A$30,0)),""))</f>
        <v/>
      </c>
      <c r="G168" s="26"/>
      <c r="H168" s="29" t="str">
        <f aca="true">IF(OR(A168="",F168="",G168="Concluído"),"",F168-TODAY())</f>
        <v/>
      </c>
      <c r="I168" s="30" t="str">
        <f aca="false">IF(A168="","",IF(G168="Concluído","✅ Concluído",IF(F168="","⚪ Sem prazo",IF(H168&lt;0,"🔴 COBRAR · "&amp;-H168&amp;" dia(s) atrasado",IF(H168=0,"🟠 Vence HOJE",IF(H168&lt;=3,"🟠 Vence em "&amp;H168&amp;" dia(s)","🟢 No prazo"))))))</f>
        <v/>
      </c>
      <c r="J168" s="27"/>
      <c r="K168" s="26"/>
      <c r="L168" s="30" t="str">
        <f aca="true">IF(OR(A168="",G168="Concluído",F168=""),"",IF(F168&lt;=TODAY()+3,F168+ROW()/1000000,""))</f>
        <v/>
      </c>
    </row>
    <row r="169" customFormat="false" ht="15" hidden="false" customHeight="false" outlineLevel="0" collapsed="false">
      <c r="A169" s="26"/>
      <c r="B169" s="26"/>
      <c r="C169" s="27"/>
      <c r="D169" s="26"/>
      <c r="E169" s="26"/>
      <c r="F169" s="28" t="str">
        <f aca="false">IF(OR(C169="",D169=""),"",IFERROR(C169-INDEX(Listas!$B$5:$B$30,MATCH(D169,Listas!$A$5:$A$30,0)),""))</f>
        <v/>
      </c>
      <c r="G169" s="26"/>
      <c r="H169" s="29" t="str">
        <f aca="true">IF(OR(A169="",F169="",G169="Concluído"),"",F169-TODAY())</f>
        <v/>
      </c>
      <c r="I169" s="30" t="str">
        <f aca="false">IF(A169="","",IF(G169="Concluído","✅ Concluído",IF(F169="","⚪ Sem prazo",IF(H169&lt;0,"🔴 COBRAR · "&amp;-H169&amp;" dia(s) atrasado",IF(H169=0,"🟠 Vence HOJE",IF(H169&lt;=3,"🟠 Vence em "&amp;H169&amp;" dia(s)","🟢 No prazo"))))))</f>
        <v/>
      </c>
      <c r="J169" s="27"/>
      <c r="K169" s="26"/>
      <c r="L169" s="30" t="str">
        <f aca="true">IF(OR(A169="",G169="Concluído",F169=""),"",IF(F169&lt;=TODAY()+3,F169+ROW()/1000000,""))</f>
        <v/>
      </c>
    </row>
    <row r="170" customFormat="false" ht="15" hidden="false" customHeight="false" outlineLevel="0" collapsed="false">
      <c r="A170" s="26"/>
      <c r="B170" s="26"/>
      <c r="C170" s="27"/>
      <c r="D170" s="26"/>
      <c r="E170" s="26"/>
      <c r="F170" s="28" t="str">
        <f aca="false">IF(OR(C170="",D170=""),"",IFERROR(C170-INDEX(Listas!$B$5:$B$30,MATCH(D170,Listas!$A$5:$A$30,0)),""))</f>
        <v/>
      </c>
      <c r="G170" s="26"/>
      <c r="H170" s="29" t="str">
        <f aca="true">IF(OR(A170="",F170="",G170="Concluído"),"",F170-TODAY())</f>
        <v/>
      </c>
      <c r="I170" s="30" t="str">
        <f aca="false">IF(A170="","",IF(G170="Concluído","✅ Concluído",IF(F170="","⚪ Sem prazo",IF(H170&lt;0,"🔴 COBRAR · "&amp;-H170&amp;" dia(s) atrasado",IF(H170=0,"🟠 Vence HOJE",IF(H170&lt;=3,"🟠 Vence em "&amp;H170&amp;" dia(s)","🟢 No prazo"))))))</f>
        <v/>
      </c>
      <c r="J170" s="27"/>
      <c r="K170" s="26"/>
      <c r="L170" s="30" t="str">
        <f aca="true">IF(OR(A170="",G170="Concluído",F170=""),"",IF(F170&lt;=TODAY()+3,F170+ROW()/1000000,""))</f>
        <v/>
      </c>
    </row>
    <row r="171" customFormat="false" ht="15" hidden="false" customHeight="false" outlineLevel="0" collapsed="false">
      <c r="A171" s="26"/>
      <c r="B171" s="26"/>
      <c r="C171" s="27"/>
      <c r="D171" s="26"/>
      <c r="E171" s="26"/>
      <c r="F171" s="28" t="str">
        <f aca="false">IF(OR(C171="",D171=""),"",IFERROR(C171-INDEX(Listas!$B$5:$B$30,MATCH(D171,Listas!$A$5:$A$30,0)),""))</f>
        <v/>
      </c>
      <c r="G171" s="26"/>
      <c r="H171" s="29" t="str">
        <f aca="true">IF(OR(A171="",F171="",G171="Concluído"),"",F171-TODAY())</f>
        <v/>
      </c>
      <c r="I171" s="30" t="str">
        <f aca="false">IF(A171="","",IF(G171="Concluído","✅ Concluído",IF(F171="","⚪ Sem prazo",IF(H171&lt;0,"🔴 COBRAR · "&amp;-H171&amp;" dia(s) atrasado",IF(H171=0,"🟠 Vence HOJE",IF(H171&lt;=3,"🟠 Vence em "&amp;H171&amp;" dia(s)","🟢 No prazo"))))))</f>
        <v/>
      </c>
      <c r="J171" s="27"/>
      <c r="K171" s="26"/>
      <c r="L171" s="30" t="str">
        <f aca="true">IF(OR(A171="",G171="Concluído",F171=""),"",IF(F171&lt;=TODAY()+3,F171+ROW()/1000000,""))</f>
        <v/>
      </c>
    </row>
    <row r="172" customFormat="false" ht="15" hidden="false" customHeight="false" outlineLevel="0" collapsed="false">
      <c r="A172" s="26"/>
      <c r="B172" s="26"/>
      <c r="C172" s="27"/>
      <c r="D172" s="26"/>
      <c r="E172" s="26"/>
      <c r="F172" s="28" t="str">
        <f aca="false">IF(OR(C172="",D172=""),"",IFERROR(C172-INDEX(Listas!$B$5:$B$30,MATCH(D172,Listas!$A$5:$A$30,0)),""))</f>
        <v/>
      </c>
      <c r="G172" s="26"/>
      <c r="H172" s="29" t="str">
        <f aca="true">IF(OR(A172="",F172="",G172="Concluído"),"",F172-TODAY())</f>
        <v/>
      </c>
      <c r="I172" s="30" t="str">
        <f aca="false">IF(A172="","",IF(G172="Concluído","✅ Concluído",IF(F172="","⚪ Sem prazo",IF(H172&lt;0,"🔴 COBRAR · "&amp;-H172&amp;" dia(s) atrasado",IF(H172=0,"🟠 Vence HOJE",IF(H172&lt;=3,"🟠 Vence em "&amp;H172&amp;" dia(s)","🟢 No prazo"))))))</f>
        <v/>
      </c>
      <c r="J172" s="27"/>
      <c r="K172" s="26"/>
      <c r="L172" s="30" t="str">
        <f aca="true">IF(OR(A172="",G172="Concluído",F172=""),"",IF(F172&lt;=TODAY()+3,F172+ROW()/1000000,""))</f>
        <v/>
      </c>
    </row>
    <row r="173" customFormat="false" ht="15" hidden="false" customHeight="false" outlineLevel="0" collapsed="false">
      <c r="A173" s="26"/>
      <c r="B173" s="26"/>
      <c r="C173" s="27"/>
      <c r="D173" s="26"/>
      <c r="E173" s="26"/>
      <c r="F173" s="28" t="str">
        <f aca="false">IF(OR(C173="",D173=""),"",IFERROR(C173-INDEX(Listas!$B$5:$B$30,MATCH(D173,Listas!$A$5:$A$30,0)),""))</f>
        <v/>
      </c>
      <c r="G173" s="26"/>
      <c r="H173" s="29" t="str">
        <f aca="true">IF(OR(A173="",F173="",G173="Concluído"),"",F173-TODAY())</f>
        <v/>
      </c>
      <c r="I173" s="30" t="str">
        <f aca="false">IF(A173="","",IF(G173="Concluído","✅ Concluído",IF(F173="","⚪ Sem prazo",IF(H173&lt;0,"🔴 COBRAR · "&amp;-H173&amp;" dia(s) atrasado",IF(H173=0,"🟠 Vence HOJE",IF(H173&lt;=3,"🟠 Vence em "&amp;H173&amp;" dia(s)","🟢 No prazo"))))))</f>
        <v/>
      </c>
      <c r="J173" s="27"/>
      <c r="K173" s="26"/>
      <c r="L173" s="30" t="str">
        <f aca="true">IF(OR(A173="",G173="Concluído",F173=""),"",IF(F173&lt;=TODAY()+3,F173+ROW()/1000000,""))</f>
        <v/>
      </c>
    </row>
    <row r="174" customFormat="false" ht="15" hidden="false" customHeight="false" outlineLevel="0" collapsed="false">
      <c r="A174" s="26"/>
      <c r="B174" s="26"/>
      <c r="C174" s="27"/>
      <c r="D174" s="26"/>
      <c r="E174" s="26"/>
      <c r="F174" s="28" t="str">
        <f aca="false">IF(OR(C174="",D174=""),"",IFERROR(C174-INDEX(Listas!$B$5:$B$30,MATCH(D174,Listas!$A$5:$A$30,0)),""))</f>
        <v/>
      </c>
      <c r="G174" s="26"/>
      <c r="H174" s="29" t="str">
        <f aca="true">IF(OR(A174="",F174="",G174="Concluído"),"",F174-TODAY())</f>
        <v/>
      </c>
      <c r="I174" s="30" t="str">
        <f aca="false">IF(A174="","",IF(G174="Concluído","✅ Concluído",IF(F174="","⚪ Sem prazo",IF(H174&lt;0,"🔴 COBRAR · "&amp;-H174&amp;" dia(s) atrasado",IF(H174=0,"🟠 Vence HOJE",IF(H174&lt;=3,"🟠 Vence em "&amp;H174&amp;" dia(s)","🟢 No prazo"))))))</f>
        <v/>
      </c>
      <c r="J174" s="27"/>
      <c r="K174" s="26"/>
      <c r="L174" s="30" t="str">
        <f aca="true">IF(OR(A174="",G174="Concluído",F174=""),"",IF(F174&lt;=TODAY()+3,F174+ROW()/1000000,""))</f>
        <v/>
      </c>
    </row>
    <row r="175" customFormat="false" ht="15" hidden="false" customHeight="false" outlineLevel="0" collapsed="false">
      <c r="A175" s="26"/>
      <c r="B175" s="26"/>
      <c r="C175" s="27"/>
      <c r="D175" s="26"/>
      <c r="E175" s="26"/>
      <c r="F175" s="28" t="str">
        <f aca="false">IF(OR(C175="",D175=""),"",IFERROR(C175-INDEX(Listas!$B$5:$B$30,MATCH(D175,Listas!$A$5:$A$30,0)),""))</f>
        <v/>
      </c>
      <c r="G175" s="26"/>
      <c r="H175" s="29" t="str">
        <f aca="true">IF(OR(A175="",F175="",G175="Concluído"),"",F175-TODAY())</f>
        <v/>
      </c>
      <c r="I175" s="30" t="str">
        <f aca="false">IF(A175="","",IF(G175="Concluído","✅ Concluído",IF(F175="","⚪ Sem prazo",IF(H175&lt;0,"🔴 COBRAR · "&amp;-H175&amp;" dia(s) atrasado",IF(H175=0,"🟠 Vence HOJE",IF(H175&lt;=3,"🟠 Vence em "&amp;H175&amp;" dia(s)","🟢 No prazo"))))))</f>
        <v/>
      </c>
      <c r="J175" s="27"/>
      <c r="K175" s="26"/>
      <c r="L175" s="30" t="str">
        <f aca="true">IF(OR(A175="",G175="Concluído",F175=""),"",IF(F175&lt;=TODAY()+3,F175+ROW()/1000000,""))</f>
        <v/>
      </c>
    </row>
    <row r="176" customFormat="false" ht="15" hidden="false" customHeight="false" outlineLevel="0" collapsed="false">
      <c r="A176" s="26"/>
      <c r="B176" s="26"/>
      <c r="C176" s="27"/>
      <c r="D176" s="26"/>
      <c r="E176" s="26"/>
      <c r="F176" s="28" t="str">
        <f aca="false">IF(OR(C176="",D176=""),"",IFERROR(C176-INDEX(Listas!$B$5:$B$30,MATCH(D176,Listas!$A$5:$A$30,0)),""))</f>
        <v/>
      </c>
      <c r="G176" s="26"/>
      <c r="H176" s="29" t="str">
        <f aca="true">IF(OR(A176="",F176="",G176="Concluído"),"",F176-TODAY())</f>
        <v/>
      </c>
      <c r="I176" s="30" t="str">
        <f aca="false">IF(A176="","",IF(G176="Concluído","✅ Concluído",IF(F176="","⚪ Sem prazo",IF(H176&lt;0,"🔴 COBRAR · "&amp;-H176&amp;" dia(s) atrasado",IF(H176=0,"🟠 Vence HOJE",IF(H176&lt;=3,"🟠 Vence em "&amp;H176&amp;" dia(s)","🟢 No prazo"))))))</f>
        <v/>
      </c>
      <c r="J176" s="27"/>
      <c r="K176" s="26"/>
      <c r="L176" s="30" t="str">
        <f aca="true">IF(OR(A176="",G176="Concluído",F176=""),"",IF(F176&lt;=TODAY()+3,F176+ROW()/1000000,""))</f>
        <v/>
      </c>
    </row>
    <row r="177" customFormat="false" ht="15" hidden="false" customHeight="false" outlineLevel="0" collapsed="false">
      <c r="A177" s="26"/>
      <c r="B177" s="26"/>
      <c r="C177" s="27"/>
      <c r="D177" s="26"/>
      <c r="E177" s="26"/>
      <c r="F177" s="28" t="str">
        <f aca="false">IF(OR(C177="",D177=""),"",IFERROR(C177-INDEX(Listas!$B$5:$B$30,MATCH(D177,Listas!$A$5:$A$30,0)),""))</f>
        <v/>
      </c>
      <c r="G177" s="26"/>
      <c r="H177" s="29" t="str">
        <f aca="true">IF(OR(A177="",F177="",G177="Concluído"),"",F177-TODAY())</f>
        <v/>
      </c>
      <c r="I177" s="30" t="str">
        <f aca="false">IF(A177="","",IF(G177="Concluído","✅ Concluído",IF(F177="","⚪ Sem prazo",IF(H177&lt;0,"🔴 COBRAR · "&amp;-H177&amp;" dia(s) atrasado",IF(H177=0,"🟠 Vence HOJE",IF(H177&lt;=3,"🟠 Vence em "&amp;H177&amp;" dia(s)","🟢 No prazo"))))))</f>
        <v/>
      </c>
      <c r="J177" s="27"/>
      <c r="K177" s="26"/>
      <c r="L177" s="30" t="str">
        <f aca="true">IF(OR(A177="",G177="Concluído",F177=""),"",IF(F177&lt;=TODAY()+3,F177+ROW()/1000000,""))</f>
        <v/>
      </c>
    </row>
    <row r="178" customFormat="false" ht="15" hidden="false" customHeight="false" outlineLevel="0" collapsed="false">
      <c r="A178" s="26"/>
      <c r="B178" s="26"/>
      <c r="C178" s="27"/>
      <c r="D178" s="26"/>
      <c r="E178" s="26"/>
      <c r="F178" s="28" t="str">
        <f aca="false">IF(OR(C178="",D178=""),"",IFERROR(C178-INDEX(Listas!$B$5:$B$30,MATCH(D178,Listas!$A$5:$A$30,0)),""))</f>
        <v/>
      </c>
      <c r="G178" s="26"/>
      <c r="H178" s="29" t="str">
        <f aca="true">IF(OR(A178="",F178="",G178="Concluído"),"",F178-TODAY())</f>
        <v/>
      </c>
      <c r="I178" s="30" t="str">
        <f aca="false">IF(A178="","",IF(G178="Concluído","✅ Concluído",IF(F178="","⚪ Sem prazo",IF(H178&lt;0,"🔴 COBRAR · "&amp;-H178&amp;" dia(s) atrasado",IF(H178=0,"🟠 Vence HOJE",IF(H178&lt;=3,"🟠 Vence em "&amp;H178&amp;" dia(s)","🟢 No prazo"))))))</f>
        <v/>
      </c>
      <c r="J178" s="27"/>
      <c r="K178" s="26"/>
      <c r="L178" s="30" t="str">
        <f aca="true">IF(OR(A178="",G178="Concluído",F178=""),"",IF(F178&lt;=TODAY()+3,F178+ROW()/1000000,""))</f>
        <v/>
      </c>
    </row>
    <row r="179" customFormat="false" ht="15" hidden="false" customHeight="false" outlineLevel="0" collapsed="false">
      <c r="A179" s="26"/>
      <c r="B179" s="26"/>
      <c r="C179" s="27"/>
      <c r="D179" s="26"/>
      <c r="E179" s="26"/>
      <c r="F179" s="28" t="str">
        <f aca="false">IF(OR(C179="",D179=""),"",IFERROR(C179-INDEX(Listas!$B$5:$B$30,MATCH(D179,Listas!$A$5:$A$30,0)),""))</f>
        <v/>
      </c>
      <c r="G179" s="26"/>
      <c r="H179" s="29" t="str">
        <f aca="true">IF(OR(A179="",F179="",G179="Concluído"),"",F179-TODAY())</f>
        <v/>
      </c>
      <c r="I179" s="30" t="str">
        <f aca="false">IF(A179="","",IF(G179="Concluído","✅ Concluído",IF(F179="","⚪ Sem prazo",IF(H179&lt;0,"🔴 COBRAR · "&amp;-H179&amp;" dia(s) atrasado",IF(H179=0,"🟠 Vence HOJE",IF(H179&lt;=3,"🟠 Vence em "&amp;H179&amp;" dia(s)","🟢 No prazo"))))))</f>
        <v/>
      </c>
      <c r="J179" s="27"/>
      <c r="K179" s="26"/>
      <c r="L179" s="30" t="str">
        <f aca="true">IF(OR(A179="",G179="Concluído",F179=""),"",IF(F179&lt;=TODAY()+3,F179+ROW()/1000000,""))</f>
        <v/>
      </c>
    </row>
    <row r="180" customFormat="false" ht="15" hidden="false" customHeight="false" outlineLevel="0" collapsed="false">
      <c r="A180" s="26"/>
      <c r="B180" s="26"/>
      <c r="C180" s="27"/>
      <c r="D180" s="26"/>
      <c r="E180" s="26"/>
      <c r="F180" s="28" t="str">
        <f aca="false">IF(OR(C180="",D180=""),"",IFERROR(C180-INDEX(Listas!$B$5:$B$30,MATCH(D180,Listas!$A$5:$A$30,0)),""))</f>
        <v/>
      </c>
      <c r="G180" s="26"/>
      <c r="H180" s="29" t="str">
        <f aca="true">IF(OR(A180="",F180="",G180="Concluído"),"",F180-TODAY())</f>
        <v/>
      </c>
      <c r="I180" s="30" t="str">
        <f aca="false">IF(A180="","",IF(G180="Concluído","✅ Concluído",IF(F180="","⚪ Sem prazo",IF(H180&lt;0,"🔴 COBRAR · "&amp;-H180&amp;" dia(s) atrasado",IF(H180=0,"🟠 Vence HOJE",IF(H180&lt;=3,"🟠 Vence em "&amp;H180&amp;" dia(s)","🟢 No prazo"))))))</f>
        <v/>
      </c>
      <c r="J180" s="27"/>
      <c r="K180" s="26"/>
      <c r="L180" s="30" t="str">
        <f aca="true">IF(OR(A180="",G180="Concluído",F180=""),"",IF(F180&lt;=TODAY()+3,F180+ROW()/1000000,""))</f>
        <v/>
      </c>
    </row>
    <row r="181" customFormat="false" ht="15" hidden="false" customHeight="false" outlineLevel="0" collapsed="false">
      <c r="A181" s="26"/>
      <c r="B181" s="26"/>
      <c r="C181" s="27"/>
      <c r="D181" s="26"/>
      <c r="E181" s="26"/>
      <c r="F181" s="28" t="str">
        <f aca="false">IF(OR(C181="",D181=""),"",IFERROR(C181-INDEX(Listas!$B$5:$B$30,MATCH(D181,Listas!$A$5:$A$30,0)),""))</f>
        <v/>
      </c>
      <c r="G181" s="26"/>
      <c r="H181" s="29" t="str">
        <f aca="true">IF(OR(A181="",F181="",G181="Concluído"),"",F181-TODAY())</f>
        <v/>
      </c>
      <c r="I181" s="30" t="str">
        <f aca="false">IF(A181="","",IF(G181="Concluído","✅ Concluído",IF(F181="","⚪ Sem prazo",IF(H181&lt;0,"🔴 COBRAR · "&amp;-H181&amp;" dia(s) atrasado",IF(H181=0,"🟠 Vence HOJE",IF(H181&lt;=3,"🟠 Vence em "&amp;H181&amp;" dia(s)","🟢 No prazo"))))))</f>
        <v/>
      </c>
      <c r="J181" s="27"/>
      <c r="K181" s="26"/>
      <c r="L181" s="30" t="str">
        <f aca="true">IF(OR(A181="",G181="Concluído",F181=""),"",IF(F181&lt;=TODAY()+3,F181+ROW()/1000000,""))</f>
        <v/>
      </c>
    </row>
    <row r="182" customFormat="false" ht="15" hidden="false" customHeight="false" outlineLevel="0" collapsed="false">
      <c r="A182" s="26"/>
      <c r="B182" s="26"/>
      <c r="C182" s="27"/>
      <c r="D182" s="26"/>
      <c r="E182" s="26"/>
      <c r="F182" s="28" t="str">
        <f aca="false">IF(OR(C182="",D182=""),"",IFERROR(C182-INDEX(Listas!$B$5:$B$30,MATCH(D182,Listas!$A$5:$A$30,0)),""))</f>
        <v/>
      </c>
      <c r="G182" s="26"/>
      <c r="H182" s="29" t="str">
        <f aca="true">IF(OR(A182="",F182="",G182="Concluído"),"",F182-TODAY())</f>
        <v/>
      </c>
      <c r="I182" s="30" t="str">
        <f aca="false">IF(A182="","",IF(G182="Concluído","✅ Concluído",IF(F182="","⚪ Sem prazo",IF(H182&lt;0,"🔴 COBRAR · "&amp;-H182&amp;" dia(s) atrasado",IF(H182=0,"🟠 Vence HOJE",IF(H182&lt;=3,"🟠 Vence em "&amp;H182&amp;" dia(s)","🟢 No prazo"))))))</f>
        <v/>
      </c>
      <c r="J182" s="27"/>
      <c r="K182" s="26"/>
      <c r="L182" s="30" t="str">
        <f aca="true">IF(OR(A182="",G182="Concluído",F182=""),"",IF(F182&lt;=TODAY()+3,F182+ROW()/1000000,""))</f>
        <v/>
      </c>
    </row>
    <row r="183" customFormat="false" ht="15" hidden="false" customHeight="false" outlineLevel="0" collapsed="false">
      <c r="A183" s="26"/>
      <c r="B183" s="26"/>
      <c r="C183" s="27"/>
      <c r="D183" s="26"/>
      <c r="E183" s="26"/>
      <c r="F183" s="28" t="str">
        <f aca="false">IF(OR(C183="",D183=""),"",IFERROR(C183-INDEX(Listas!$B$5:$B$30,MATCH(D183,Listas!$A$5:$A$30,0)),""))</f>
        <v/>
      </c>
      <c r="G183" s="26"/>
      <c r="H183" s="29" t="str">
        <f aca="true">IF(OR(A183="",F183="",G183="Concluído"),"",F183-TODAY())</f>
        <v/>
      </c>
      <c r="I183" s="30" t="str">
        <f aca="false">IF(A183="","",IF(G183="Concluído","✅ Concluído",IF(F183="","⚪ Sem prazo",IF(H183&lt;0,"🔴 COBRAR · "&amp;-H183&amp;" dia(s) atrasado",IF(H183=0,"🟠 Vence HOJE",IF(H183&lt;=3,"🟠 Vence em "&amp;H183&amp;" dia(s)","🟢 No prazo"))))))</f>
        <v/>
      </c>
      <c r="J183" s="27"/>
      <c r="K183" s="26"/>
      <c r="L183" s="30" t="str">
        <f aca="true">IF(OR(A183="",G183="Concluído",F183=""),"",IF(F183&lt;=TODAY()+3,F183+ROW()/1000000,""))</f>
        <v/>
      </c>
    </row>
    <row r="184" customFormat="false" ht="15" hidden="false" customHeight="false" outlineLevel="0" collapsed="false">
      <c r="A184" s="26"/>
      <c r="B184" s="26"/>
      <c r="C184" s="27"/>
      <c r="D184" s="26"/>
      <c r="E184" s="26"/>
      <c r="F184" s="28" t="str">
        <f aca="false">IF(OR(C184="",D184=""),"",IFERROR(C184-INDEX(Listas!$B$5:$B$30,MATCH(D184,Listas!$A$5:$A$30,0)),""))</f>
        <v/>
      </c>
      <c r="G184" s="26"/>
      <c r="H184" s="29" t="str">
        <f aca="true">IF(OR(A184="",F184="",G184="Concluído"),"",F184-TODAY())</f>
        <v/>
      </c>
      <c r="I184" s="30" t="str">
        <f aca="false">IF(A184="","",IF(G184="Concluído","✅ Concluído",IF(F184="","⚪ Sem prazo",IF(H184&lt;0,"🔴 COBRAR · "&amp;-H184&amp;" dia(s) atrasado",IF(H184=0,"🟠 Vence HOJE",IF(H184&lt;=3,"🟠 Vence em "&amp;H184&amp;" dia(s)","🟢 No prazo"))))))</f>
        <v/>
      </c>
      <c r="J184" s="27"/>
      <c r="K184" s="26"/>
      <c r="L184" s="30" t="str">
        <f aca="true">IF(OR(A184="",G184="Concluído",F184=""),"",IF(F184&lt;=TODAY()+3,F184+ROW()/1000000,""))</f>
        <v/>
      </c>
    </row>
    <row r="185" customFormat="false" ht="15" hidden="false" customHeight="false" outlineLevel="0" collapsed="false">
      <c r="A185" s="26"/>
      <c r="B185" s="26"/>
      <c r="C185" s="27"/>
      <c r="D185" s="26"/>
      <c r="E185" s="26"/>
      <c r="F185" s="28" t="str">
        <f aca="false">IF(OR(C185="",D185=""),"",IFERROR(C185-INDEX(Listas!$B$5:$B$30,MATCH(D185,Listas!$A$5:$A$30,0)),""))</f>
        <v/>
      </c>
      <c r="G185" s="26"/>
      <c r="H185" s="29" t="str">
        <f aca="true">IF(OR(A185="",F185="",G185="Concluído"),"",F185-TODAY())</f>
        <v/>
      </c>
      <c r="I185" s="30" t="str">
        <f aca="false">IF(A185="","",IF(G185="Concluído","✅ Concluído",IF(F185="","⚪ Sem prazo",IF(H185&lt;0,"🔴 COBRAR · "&amp;-H185&amp;" dia(s) atrasado",IF(H185=0,"🟠 Vence HOJE",IF(H185&lt;=3,"🟠 Vence em "&amp;H185&amp;" dia(s)","🟢 No prazo"))))))</f>
        <v/>
      </c>
      <c r="J185" s="27"/>
      <c r="K185" s="26"/>
      <c r="L185" s="30" t="str">
        <f aca="true">IF(OR(A185="",G185="Concluído",F185=""),"",IF(F185&lt;=TODAY()+3,F185+ROW()/1000000,""))</f>
        <v/>
      </c>
    </row>
    <row r="186" customFormat="false" ht="15" hidden="false" customHeight="false" outlineLevel="0" collapsed="false">
      <c r="A186" s="26"/>
      <c r="B186" s="26"/>
      <c r="C186" s="27"/>
      <c r="D186" s="26"/>
      <c r="E186" s="26"/>
      <c r="F186" s="28" t="str">
        <f aca="false">IF(OR(C186="",D186=""),"",IFERROR(C186-INDEX(Listas!$B$5:$B$30,MATCH(D186,Listas!$A$5:$A$30,0)),""))</f>
        <v/>
      </c>
      <c r="G186" s="26"/>
      <c r="H186" s="29" t="str">
        <f aca="true">IF(OR(A186="",F186="",G186="Concluído"),"",F186-TODAY())</f>
        <v/>
      </c>
      <c r="I186" s="30" t="str">
        <f aca="false">IF(A186="","",IF(G186="Concluído","✅ Concluído",IF(F186="","⚪ Sem prazo",IF(H186&lt;0,"🔴 COBRAR · "&amp;-H186&amp;" dia(s) atrasado",IF(H186=0,"🟠 Vence HOJE",IF(H186&lt;=3,"🟠 Vence em "&amp;H186&amp;" dia(s)","🟢 No prazo"))))))</f>
        <v/>
      </c>
      <c r="J186" s="27"/>
      <c r="K186" s="26"/>
      <c r="L186" s="30" t="str">
        <f aca="true">IF(OR(A186="",G186="Concluído",F186=""),"",IF(F186&lt;=TODAY()+3,F186+ROW()/1000000,""))</f>
        <v/>
      </c>
    </row>
    <row r="187" customFormat="false" ht="15" hidden="false" customHeight="false" outlineLevel="0" collapsed="false">
      <c r="A187" s="26"/>
      <c r="B187" s="26"/>
      <c r="C187" s="27"/>
      <c r="D187" s="26"/>
      <c r="E187" s="26"/>
      <c r="F187" s="28" t="str">
        <f aca="false">IF(OR(C187="",D187=""),"",IFERROR(C187-INDEX(Listas!$B$5:$B$30,MATCH(D187,Listas!$A$5:$A$30,0)),""))</f>
        <v/>
      </c>
      <c r="G187" s="26"/>
      <c r="H187" s="29" t="str">
        <f aca="true">IF(OR(A187="",F187="",G187="Concluído"),"",F187-TODAY())</f>
        <v/>
      </c>
      <c r="I187" s="30" t="str">
        <f aca="false">IF(A187="","",IF(G187="Concluído","✅ Concluído",IF(F187="","⚪ Sem prazo",IF(H187&lt;0,"🔴 COBRAR · "&amp;-H187&amp;" dia(s) atrasado",IF(H187=0,"🟠 Vence HOJE",IF(H187&lt;=3,"🟠 Vence em "&amp;H187&amp;" dia(s)","🟢 No prazo"))))))</f>
        <v/>
      </c>
      <c r="J187" s="27"/>
      <c r="K187" s="26"/>
      <c r="L187" s="30" t="str">
        <f aca="true">IF(OR(A187="",G187="Concluído",F187=""),"",IF(F187&lt;=TODAY()+3,F187+ROW()/1000000,""))</f>
        <v/>
      </c>
    </row>
    <row r="188" customFormat="false" ht="15" hidden="false" customHeight="false" outlineLevel="0" collapsed="false">
      <c r="A188" s="26"/>
      <c r="B188" s="26"/>
      <c r="C188" s="27"/>
      <c r="D188" s="26"/>
      <c r="E188" s="26"/>
      <c r="F188" s="28" t="str">
        <f aca="false">IF(OR(C188="",D188=""),"",IFERROR(C188-INDEX(Listas!$B$5:$B$30,MATCH(D188,Listas!$A$5:$A$30,0)),""))</f>
        <v/>
      </c>
      <c r="G188" s="26"/>
      <c r="H188" s="29" t="str">
        <f aca="true">IF(OR(A188="",F188="",G188="Concluído"),"",F188-TODAY())</f>
        <v/>
      </c>
      <c r="I188" s="30" t="str">
        <f aca="false">IF(A188="","",IF(G188="Concluído","✅ Concluído",IF(F188="","⚪ Sem prazo",IF(H188&lt;0,"🔴 COBRAR · "&amp;-H188&amp;" dia(s) atrasado",IF(H188=0,"🟠 Vence HOJE",IF(H188&lt;=3,"🟠 Vence em "&amp;H188&amp;" dia(s)","🟢 No prazo"))))))</f>
        <v/>
      </c>
      <c r="J188" s="27"/>
      <c r="K188" s="26"/>
      <c r="L188" s="30" t="str">
        <f aca="true">IF(OR(A188="",G188="Concluído",F188=""),"",IF(F188&lt;=TODAY()+3,F188+ROW()/1000000,""))</f>
        <v/>
      </c>
    </row>
    <row r="189" customFormat="false" ht="15" hidden="false" customHeight="false" outlineLevel="0" collapsed="false">
      <c r="A189" s="26"/>
      <c r="B189" s="26"/>
      <c r="C189" s="27"/>
      <c r="D189" s="26"/>
      <c r="E189" s="26"/>
      <c r="F189" s="28" t="str">
        <f aca="false">IF(OR(C189="",D189=""),"",IFERROR(C189-INDEX(Listas!$B$5:$B$30,MATCH(D189,Listas!$A$5:$A$30,0)),""))</f>
        <v/>
      </c>
      <c r="G189" s="26"/>
      <c r="H189" s="29" t="str">
        <f aca="true">IF(OR(A189="",F189="",G189="Concluído"),"",F189-TODAY())</f>
        <v/>
      </c>
      <c r="I189" s="30" t="str">
        <f aca="false">IF(A189="","",IF(G189="Concluído","✅ Concluído",IF(F189="","⚪ Sem prazo",IF(H189&lt;0,"🔴 COBRAR · "&amp;-H189&amp;" dia(s) atrasado",IF(H189=0,"🟠 Vence HOJE",IF(H189&lt;=3,"🟠 Vence em "&amp;H189&amp;" dia(s)","🟢 No prazo"))))))</f>
        <v/>
      </c>
      <c r="J189" s="27"/>
      <c r="K189" s="26"/>
      <c r="L189" s="30" t="str">
        <f aca="true">IF(OR(A189="",G189="Concluído",F189=""),"",IF(F189&lt;=TODAY()+3,F189+ROW()/1000000,""))</f>
        <v/>
      </c>
    </row>
    <row r="190" customFormat="false" ht="15" hidden="false" customHeight="false" outlineLevel="0" collapsed="false">
      <c r="A190" s="26"/>
      <c r="B190" s="26"/>
      <c r="C190" s="27"/>
      <c r="D190" s="26"/>
      <c r="E190" s="26"/>
      <c r="F190" s="28" t="str">
        <f aca="false">IF(OR(C190="",D190=""),"",IFERROR(C190-INDEX(Listas!$B$5:$B$30,MATCH(D190,Listas!$A$5:$A$30,0)),""))</f>
        <v/>
      </c>
      <c r="G190" s="26"/>
      <c r="H190" s="29" t="str">
        <f aca="true">IF(OR(A190="",F190="",G190="Concluído"),"",F190-TODAY())</f>
        <v/>
      </c>
      <c r="I190" s="30" t="str">
        <f aca="false">IF(A190="","",IF(G190="Concluído","✅ Concluído",IF(F190="","⚪ Sem prazo",IF(H190&lt;0,"🔴 COBRAR · "&amp;-H190&amp;" dia(s) atrasado",IF(H190=0,"🟠 Vence HOJE",IF(H190&lt;=3,"🟠 Vence em "&amp;H190&amp;" dia(s)","🟢 No prazo"))))))</f>
        <v/>
      </c>
      <c r="J190" s="27"/>
      <c r="K190" s="26"/>
      <c r="L190" s="30" t="str">
        <f aca="true">IF(OR(A190="",G190="Concluído",F190=""),"",IF(F190&lt;=TODAY()+3,F190+ROW()/1000000,""))</f>
        <v/>
      </c>
    </row>
    <row r="191" customFormat="false" ht="15" hidden="false" customHeight="false" outlineLevel="0" collapsed="false">
      <c r="A191" s="26"/>
      <c r="B191" s="26"/>
      <c r="C191" s="27"/>
      <c r="D191" s="26"/>
      <c r="E191" s="26"/>
      <c r="F191" s="28" t="str">
        <f aca="false">IF(OR(C191="",D191=""),"",IFERROR(C191-INDEX(Listas!$B$5:$B$30,MATCH(D191,Listas!$A$5:$A$30,0)),""))</f>
        <v/>
      </c>
      <c r="G191" s="26"/>
      <c r="H191" s="29" t="str">
        <f aca="true">IF(OR(A191="",F191="",G191="Concluído"),"",F191-TODAY())</f>
        <v/>
      </c>
      <c r="I191" s="30" t="str">
        <f aca="false">IF(A191="","",IF(G191="Concluído","✅ Concluído",IF(F191="","⚪ Sem prazo",IF(H191&lt;0,"🔴 COBRAR · "&amp;-H191&amp;" dia(s) atrasado",IF(H191=0,"🟠 Vence HOJE",IF(H191&lt;=3,"🟠 Vence em "&amp;H191&amp;" dia(s)","🟢 No prazo"))))))</f>
        <v/>
      </c>
      <c r="J191" s="27"/>
      <c r="K191" s="26"/>
      <c r="L191" s="30" t="str">
        <f aca="true">IF(OR(A191="",G191="Concluído",F191=""),"",IF(F191&lt;=TODAY()+3,F191+ROW()/1000000,""))</f>
        <v/>
      </c>
    </row>
    <row r="192" customFormat="false" ht="15" hidden="false" customHeight="false" outlineLevel="0" collapsed="false">
      <c r="A192" s="26"/>
      <c r="B192" s="26"/>
      <c r="C192" s="27"/>
      <c r="D192" s="26"/>
      <c r="E192" s="26"/>
      <c r="F192" s="28" t="str">
        <f aca="false">IF(OR(C192="",D192=""),"",IFERROR(C192-INDEX(Listas!$B$5:$B$30,MATCH(D192,Listas!$A$5:$A$30,0)),""))</f>
        <v/>
      </c>
      <c r="G192" s="26"/>
      <c r="H192" s="29" t="str">
        <f aca="true">IF(OR(A192="",F192="",G192="Concluído"),"",F192-TODAY())</f>
        <v/>
      </c>
      <c r="I192" s="30" t="str">
        <f aca="false">IF(A192="","",IF(G192="Concluído","✅ Concluído",IF(F192="","⚪ Sem prazo",IF(H192&lt;0,"🔴 COBRAR · "&amp;-H192&amp;" dia(s) atrasado",IF(H192=0,"🟠 Vence HOJE",IF(H192&lt;=3,"🟠 Vence em "&amp;H192&amp;" dia(s)","🟢 No prazo"))))))</f>
        <v/>
      </c>
      <c r="J192" s="27"/>
      <c r="K192" s="26"/>
      <c r="L192" s="30" t="str">
        <f aca="true">IF(OR(A192="",G192="Concluído",F192=""),"",IF(F192&lt;=TODAY()+3,F192+ROW()/1000000,""))</f>
        <v/>
      </c>
    </row>
    <row r="193" customFormat="false" ht="15" hidden="false" customHeight="false" outlineLevel="0" collapsed="false">
      <c r="A193" s="26"/>
      <c r="B193" s="26"/>
      <c r="C193" s="27"/>
      <c r="D193" s="26"/>
      <c r="E193" s="26"/>
      <c r="F193" s="28" t="str">
        <f aca="false">IF(OR(C193="",D193=""),"",IFERROR(C193-INDEX(Listas!$B$5:$B$30,MATCH(D193,Listas!$A$5:$A$30,0)),""))</f>
        <v/>
      </c>
      <c r="G193" s="26"/>
      <c r="H193" s="29" t="str">
        <f aca="true">IF(OR(A193="",F193="",G193="Concluído"),"",F193-TODAY())</f>
        <v/>
      </c>
      <c r="I193" s="30" t="str">
        <f aca="false">IF(A193="","",IF(G193="Concluído","✅ Concluído",IF(F193="","⚪ Sem prazo",IF(H193&lt;0,"🔴 COBRAR · "&amp;-H193&amp;" dia(s) atrasado",IF(H193=0,"🟠 Vence HOJE",IF(H193&lt;=3,"🟠 Vence em "&amp;H193&amp;" dia(s)","🟢 No prazo"))))))</f>
        <v/>
      </c>
      <c r="J193" s="27"/>
      <c r="K193" s="26"/>
      <c r="L193" s="30" t="str">
        <f aca="true">IF(OR(A193="",G193="Concluído",F193=""),"",IF(F193&lt;=TODAY()+3,F193+ROW()/1000000,""))</f>
        <v/>
      </c>
    </row>
    <row r="194" customFormat="false" ht="15" hidden="false" customHeight="false" outlineLevel="0" collapsed="false">
      <c r="A194" s="26"/>
      <c r="B194" s="26"/>
      <c r="C194" s="27"/>
      <c r="D194" s="26"/>
      <c r="E194" s="26"/>
      <c r="F194" s="28" t="str">
        <f aca="false">IF(OR(C194="",D194=""),"",IFERROR(C194-INDEX(Listas!$B$5:$B$30,MATCH(D194,Listas!$A$5:$A$30,0)),""))</f>
        <v/>
      </c>
      <c r="G194" s="26"/>
      <c r="H194" s="29" t="str">
        <f aca="true">IF(OR(A194="",F194="",G194="Concluído"),"",F194-TODAY())</f>
        <v/>
      </c>
      <c r="I194" s="30" t="str">
        <f aca="false">IF(A194="","",IF(G194="Concluído","✅ Concluído",IF(F194="","⚪ Sem prazo",IF(H194&lt;0,"🔴 COBRAR · "&amp;-H194&amp;" dia(s) atrasado",IF(H194=0,"🟠 Vence HOJE",IF(H194&lt;=3,"🟠 Vence em "&amp;H194&amp;" dia(s)","🟢 No prazo"))))))</f>
        <v/>
      </c>
      <c r="J194" s="27"/>
      <c r="K194" s="26"/>
      <c r="L194" s="30" t="str">
        <f aca="true">IF(OR(A194="",G194="Concluído",F194=""),"",IF(F194&lt;=TODAY()+3,F194+ROW()/1000000,""))</f>
        <v/>
      </c>
    </row>
    <row r="195" customFormat="false" ht="15" hidden="false" customHeight="false" outlineLevel="0" collapsed="false">
      <c r="A195" s="26"/>
      <c r="B195" s="26"/>
      <c r="C195" s="27"/>
      <c r="D195" s="26"/>
      <c r="E195" s="26"/>
      <c r="F195" s="28" t="str">
        <f aca="false">IF(OR(C195="",D195=""),"",IFERROR(C195-INDEX(Listas!$B$5:$B$30,MATCH(D195,Listas!$A$5:$A$30,0)),""))</f>
        <v/>
      </c>
      <c r="G195" s="26"/>
      <c r="H195" s="29" t="str">
        <f aca="true">IF(OR(A195="",F195="",G195="Concluído"),"",F195-TODAY())</f>
        <v/>
      </c>
      <c r="I195" s="30" t="str">
        <f aca="false">IF(A195="","",IF(G195="Concluído","✅ Concluído",IF(F195="","⚪ Sem prazo",IF(H195&lt;0,"🔴 COBRAR · "&amp;-H195&amp;" dia(s) atrasado",IF(H195=0,"🟠 Vence HOJE",IF(H195&lt;=3,"🟠 Vence em "&amp;H195&amp;" dia(s)","🟢 No prazo"))))))</f>
        <v/>
      </c>
      <c r="J195" s="27"/>
      <c r="K195" s="26"/>
      <c r="L195" s="30" t="str">
        <f aca="true">IF(OR(A195="",G195="Concluído",F195=""),"",IF(F195&lt;=TODAY()+3,F195+ROW()/1000000,""))</f>
        <v/>
      </c>
    </row>
    <row r="196" customFormat="false" ht="15" hidden="false" customHeight="false" outlineLevel="0" collapsed="false">
      <c r="A196" s="26"/>
      <c r="B196" s="26"/>
      <c r="C196" s="27"/>
      <c r="D196" s="26"/>
      <c r="E196" s="26"/>
      <c r="F196" s="28" t="str">
        <f aca="false">IF(OR(C196="",D196=""),"",IFERROR(C196-INDEX(Listas!$B$5:$B$30,MATCH(D196,Listas!$A$5:$A$30,0)),""))</f>
        <v/>
      </c>
      <c r="G196" s="26"/>
      <c r="H196" s="29" t="str">
        <f aca="true">IF(OR(A196="",F196="",G196="Concluído"),"",F196-TODAY())</f>
        <v/>
      </c>
      <c r="I196" s="30" t="str">
        <f aca="false">IF(A196="","",IF(G196="Concluído","✅ Concluído",IF(F196="","⚪ Sem prazo",IF(H196&lt;0,"🔴 COBRAR · "&amp;-H196&amp;" dia(s) atrasado",IF(H196=0,"🟠 Vence HOJE",IF(H196&lt;=3,"🟠 Vence em "&amp;H196&amp;" dia(s)","🟢 No prazo"))))))</f>
        <v/>
      </c>
      <c r="J196" s="27"/>
      <c r="K196" s="26"/>
      <c r="L196" s="30" t="str">
        <f aca="true">IF(OR(A196="",G196="Concluído",F196=""),"",IF(F196&lt;=TODAY()+3,F196+ROW()/1000000,""))</f>
        <v/>
      </c>
    </row>
    <row r="197" customFormat="false" ht="15" hidden="false" customHeight="false" outlineLevel="0" collapsed="false">
      <c r="A197" s="26"/>
      <c r="B197" s="26"/>
      <c r="C197" s="27"/>
      <c r="D197" s="26"/>
      <c r="E197" s="26"/>
      <c r="F197" s="28" t="str">
        <f aca="false">IF(OR(C197="",D197=""),"",IFERROR(C197-INDEX(Listas!$B$5:$B$30,MATCH(D197,Listas!$A$5:$A$30,0)),""))</f>
        <v/>
      </c>
      <c r="G197" s="26"/>
      <c r="H197" s="29" t="str">
        <f aca="true">IF(OR(A197="",F197="",G197="Concluído"),"",F197-TODAY())</f>
        <v/>
      </c>
      <c r="I197" s="30" t="str">
        <f aca="false">IF(A197="","",IF(G197="Concluído","✅ Concluído",IF(F197="","⚪ Sem prazo",IF(H197&lt;0,"🔴 COBRAR · "&amp;-H197&amp;" dia(s) atrasado",IF(H197=0,"🟠 Vence HOJE",IF(H197&lt;=3,"🟠 Vence em "&amp;H197&amp;" dia(s)","🟢 No prazo"))))))</f>
        <v/>
      </c>
      <c r="J197" s="27"/>
      <c r="K197" s="26"/>
      <c r="L197" s="30" t="str">
        <f aca="true">IF(OR(A197="",G197="Concluído",F197=""),"",IF(F197&lt;=TODAY()+3,F197+ROW()/1000000,""))</f>
        <v/>
      </c>
    </row>
    <row r="198" customFormat="false" ht="15" hidden="false" customHeight="false" outlineLevel="0" collapsed="false">
      <c r="A198" s="26"/>
      <c r="B198" s="26"/>
      <c r="C198" s="27"/>
      <c r="D198" s="26"/>
      <c r="E198" s="26"/>
      <c r="F198" s="28" t="str">
        <f aca="false">IF(OR(C198="",D198=""),"",IFERROR(C198-INDEX(Listas!$B$5:$B$30,MATCH(D198,Listas!$A$5:$A$30,0)),""))</f>
        <v/>
      </c>
      <c r="G198" s="26"/>
      <c r="H198" s="29" t="str">
        <f aca="true">IF(OR(A198="",F198="",G198="Concluído"),"",F198-TODAY())</f>
        <v/>
      </c>
      <c r="I198" s="30" t="str">
        <f aca="false">IF(A198="","",IF(G198="Concluído","✅ Concluído",IF(F198="","⚪ Sem prazo",IF(H198&lt;0,"🔴 COBRAR · "&amp;-H198&amp;" dia(s) atrasado",IF(H198=0,"🟠 Vence HOJE",IF(H198&lt;=3,"🟠 Vence em "&amp;H198&amp;" dia(s)","🟢 No prazo"))))))</f>
        <v/>
      </c>
      <c r="J198" s="27"/>
      <c r="K198" s="26"/>
      <c r="L198" s="30" t="str">
        <f aca="true">IF(OR(A198="",G198="Concluído",F198=""),"",IF(F198&lt;=TODAY()+3,F198+ROW()/1000000,""))</f>
        <v/>
      </c>
    </row>
    <row r="199" customFormat="false" ht="15" hidden="false" customHeight="false" outlineLevel="0" collapsed="false">
      <c r="A199" s="26"/>
      <c r="B199" s="26"/>
      <c r="C199" s="27"/>
      <c r="D199" s="26"/>
      <c r="E199" s="26"/>
      <c r="F199" s="28" t="str">
        <f aca="false">IF(OR(C199="",D199=""),"",IFERROR(C199-INDEX(Listas!$B$5:$B$30,MATCH(D199,Listas!$A$5:$A$30,0)),""))</f>
        <v/>
      </c>
      <c r="G199" s="26"/>
      <c r="H199" s="29" t="str">
        <f aca="true">IF(OR(A199="",F199="",G199="Concluído"),"",F199-TODAY())</f>
        <v/>
      </c>
      <c r="I199" s="30" t="str">
        <f aca="false">IF(A199="","",IF(G199="Concluído","✅ Concluído",IF(F199="","⚪ Sem prazo",IF(H199&lt;0,"🔴 COBRAR · "&amp;-H199&amp;" dia(s) atrasado",IF(H199=0,"🟠 Vence HOJE",IF(H199&lt;=3,"🟠 Vence em "&amp;H199&amp;" dia(s)","🟢 No prazo"))))))</f>
        <v/>
      </c>
      <c r="J199" s="27"/>
      <c r="K199" s="26"/>
      <c r="L199" s="30" t="str">
        <f aca="true">IF(OR(A199="",G199="Concluído",F199=""),"",IF(F199&lt;=TODAY()+3,F199+ROW()/1000000,""))</f>
        <v/>
      </c>
    </row>
    <row r="200" customFormat="false" ht="15" hidden="false" customHeight="false" outlineLevel="0" collapsed="false">
      <c r="A200" s="26"/>
      <c r="B200" s="26"/>
      <c r="C200" s="27"/>
      <c r="D200" s="26"/>
      <c r="E200" s="26"/>
      <c r="F200" s="28" t="str">
        <f aca="false">IF(OR(C200="",D200=""),"",IFERROR(C200-INDEX(Listas!$B$5:$B$30,MATCH(D200,Listas!$A$5:$A$30,0)),""))</f>
        <v/>
      </c>
      <c r="G200" s="26"/>
      <c r="H200" s="29" t="str">
        <f aca="true">IF(OR(A200="",F200="",G200="Concluído"),"",F200-TODAY())</f>
        <v/>
      </c>
      <c r="I200" s="30" t="str">
        <f aca="false">IF(A200="","",IF(G200="Concluído","✅ Concluído",IF(F200="","⚪ Sem prazo",IF(H200&lt;0,"🔴 COBRAR · "&amp;-H200&amp;" dia(s) atrasado",IF(H200=0,"🟠 Vence HOJE",IF(H200&lt;=3,"🟠 Vence em "&amp;H200&amp;" dia(s)","🟢 No prazo"))))))</f>
        <v/>
      </c>
      <c r="J200" s="27"/>
      <c r="K200" s="26"/>
      <c r="L200" s="30" t="str">
        <f aca="true">IF(OR(A200="",G200="Concluído",F200=""),"",IF(F200&lt;=TODAY()+3,F200+ROW()/1000000,""))</f>
        <v/>
      </c>
    </row>
    <row r="201" customFormat="false" ht="15" hidden="false" customHeight="false" outlineLevel="0" collapsed="false">
      <c r="A201" s="26"/>
      <c r="B201" s="26"/>
      <c r="C201" s="27"/>
      <c r="D201" s="26"/>
      <c r="E201" s="26"/>
      <c r="F201" s="28" t="str">
        <f aca="false">IF(OR(C201="",D201=""),"",IFERROR(C201-INDEX(Listas!$B$5:$B$30,MATCH(D201,Listas!$A$5:$A$30,0)),""))</f>
        <v/>
      </c>
      <c r="G201" s="26"/>
      <c r="H201" s="29" t="str">
        <f aca="true">IF(OR(A201="",F201="",G201="Concluído"),"",F201-TODAY())</f>
        <v/>
      </c>
      <c r="I201" s="30" t="str">
        <f aca="false">IF(A201="","",IF(G201="Concluído","✅ Concluído",IF(F201="","⚪ Sem prazo",IF(H201&lt;0,"🔴 COBRAR · "&amp;-H201&amp;" dia(s) atrasado",IF(H201=0,"🟠 Vence HOJE",IF(H201&lt;=3,"🟠 Vence em "&amp;H201&amp;" dia(s)","🟢 No prazo"))))))</f>
        <v/>
      </c>
      <c r="J201" s="27"/>
      <c r="K201" s="26"/>
      <c r="L201" s="30" t="str">
        <f aca="true">IF(OR(A201="",G201="Concluído",F201=""),"",IF(F201&lt;=TODAY()+3,F201+ROW()/1000000,""))</f>
        <v/>
      </c>
    </row>
    <row r="202" customFormat="false" ht="15" hidden="false" customHeight="false" outlineLevel="0" collapsed="false">
      <c r="A202" s="26"/>
      <c r="B202" s="26"/>
      <c r="C202" s="27"/>
      <c r="D202" s="26"/>
      <c r="E202" s="26"/>
      <c r="F202" s="28" t="str">
        <f aca="false">IF(OR(C202="",D202=""),"",IFERROR(C202-INDEX(Listas!$B$5:$B$30,MATCH(D202,Listas!$A$5:$A$30,0)),""))</f>
        <v/>
      </c>
      <c r="G202" s="26"/>
      <c r="H202" s="29" t="str">
        <f aca="true">IF(OR(A202="",F202="",G202="Concluído"),"",F202-TODAY())</f>
        <v/>
      </c>
      <c r="I202" s="30" t="str">
        <f aca="false">IF(A202="","",IF(G202="Concluído","✅ Concluído",IF(F202="","⚪ Sem prazo",IF(H202&lt;0,"🔴 COBRAR · "&amp;-H202&amp;" dia(s) atrasado",IF(H202=0,"🟠 Vence HOJE",IF(H202&lt;=3,"🟠 Vence em "&amp;H202&amp;" dia(s)","🟢 No prazo"))))))</f>
        <v/>
      </c>
      <c r="J202" s="27"/>
      <c r="K202" s="26"/>
      <c r="L202" s="30" t="str">
        <f aca="true">IF(OR(A202="",G202="Concluído",F202=""),"",IF(F202&lt;=TODAY()+3,F202+ROW()/1000000,""))</f>
        <v/>
      </c>
    </row>
    <row r="203" customFormat="false" ht="15" hidden="false" customHeight="false" outlineLevel="0" collapsed="false">
      <c r="A203" s="26"/>
      <c r="B203" s="26"/>
      <c r="C203" s="27"/>
      <c r="D203" s="26"/>
      <c r="E203" s="26"/>
      <c r="F203" s="28" t="str">
        <f aca="false">IF(OR(C203="",D203=""),"",IFERROR(C203-INDEX(Listas!$B$5:$B$30,MATCH(D203,Listas!$A$5:$A$30,0)),""))</f>
        <v/>
      </c>
      <c r="G203" s="26"/>
      <c r="H203" s="29" t="str">
        <f aca="true">IF(OR(A203="",F203="",G203="Concluído"),"",F203-TODAY())</f>
        <v/>
      </c>
      <c r="I203" s="30" t="str">
        <f aca="false">IF(A203="","",IF(G203="Concluído","✅ Concluído",IF(F203="","⚪ Sem prazo",IF(H203&lt;0,"🔴 COBRAR · "&amp;-H203&amp;" dia(s) atrasado",IF(H203=0,"🟠 Vence HOJE",IF(H203&lt;=3,"🟠 Vence em "&amp;H203&amp;" dia(s)","🟢 No prazo"))))))</f>
        <v/>
      </c>
      <c r="J203" s="27"/>
      <c r="K203" s="26"/>
      <c r="L203" s="30" t="str">
        <f aca="true">IF(OR(A203="",G203="Concluído",F203=""),"",IF(F203&lt;=TODAY()+3,F203+ROW()/1000000,""))</f>
        <v/>
      </c>
    </row>
    <row r="204" customFormat="false" ht="15" hidden="false" customHeight="false" outlineLevel="0" collapsed="false">
      <c r="A204" s="26"/>
      <c r="B204" s="26"/>
      <c r="C204" s="27"/>
      <c r="D204" s="26"/>
      <c r="E204" s="26"/>
      <c r="F204" s="28" t="str">
        <f aca="false">IF(OR(C204="",D204=""),"",IFERROR(C204-INDEX(Listas!$B$5:$B$30,MATCH(D204,Listas!$A$5:$A$30,0)),""))</f>
        <v/>
      </c>
      <c r="G204" s="26"/>
      <c r="H204" s="29" t="str">
        <f aca="true">IF(OR(A204="",F204="",G204="Concluído"),"",F204-TODAY())</f>
        <v/>
      </c>
      <c r="I204" s="30" t="str">
        <f aca="false">IF(A204="","",IF(G204="Concluído","✅ Concluído",IF(F204="","⚪ Sem prazo",IF(H204&lt;0,"🔴 COBRAR · "&amp;-H204&amp;" dia(s) atrasado",IF(H204=0,"🟠 Vence HOJE",IF(H204&lt;=3,"🟠 Vence em "&amp;H204&amp;" dia(s)","🟢 No prazo"))))))</f>
        <v/>
      </c>
      <c r="J204" s="27"/>
      <c r="K204" s="26"/>
      <c r="L204" s="30" t="str">
        <f aca="true">IF(OR(A204="",G204="Concluído",F204=""),"",IF(F204&lt;=TODAY()+3,F204+ROW()/1000000,""))</f>
        <v/>
      </c>
    </row>
    <row r="205" customFormat="false" ht="15" hidden="false" customHeight="false" outlineLevel="0" collapsed="false">
      <c r="A205" s="26"/>
      <c r="B205" s="26"/>
      <c r="C205" s="27"/>
      <c r="D205" s="26"/>
      <c r="E205" s="26"/>
      <c r="F205" s="28" t="str">
        <f aca="false">IF(OR(C205="",D205=""),"",IFERROR(C205-INDEX(Listas!$B$5:$B$30,MATCH(D205,Listas!$A$5:$A$30,0)),""))</f>
        <v/>
      </c>
      <c r="G205" s="26"/>
      <c r="H205" s="29" t="str">
        <f aca="true">IF(OR(A205="",F205="",G205="Concluído"),"",F205-TODAY())</f>
        <v/>
      </c>
      <c r="I205" s="30" t="str">
        <f aca="false">IF(A205="","",IF(G205="Concluído","✅ Concluído",IF(F205="","⚪ Sem prazo",IF(H205&lt;0,"🔴 COBRAR · "&amp;-H205&amp;" dia(s) atrasado",IF(H205=0,"🟠 Vence HOJE",IF(H205&lt;=3,"🟠 Vence em "&amp;H205&amp;" dia(s)","🟢 No prazo"))))))</f>
        <v/>
      </c>
      <c r="J205" s="27"/>
      <c r="K205" s="26"/>
      <c r="L205" s="30" t="str">
        <f aca="true">IF(OR(A205="",G205="Concluído",F205=""),"",IF(F205&lt;=TODAY()+3,F205+ROW()/1000000,""))</f>
        <v/>
      </c>
    </row>
    <row r="206" customFormat="false" ht="15" hidden="false" customHeight="false" outlineLevel="0" collapsed="false">
      <c r="A206" s="26"/>
      <c r="B206" s="26"/>
      <c r="C206" s="27"/>
      <c r="D206" s="26"/>
      <c r="E206" s="26"/>
      <c r="F206" s="28" t="str">
        <f aca="false">IF(OR(C206="",D206=""),"",IFERROR(C206-INDEX(Listas!$B$5:$B$30,MATCH(D206,Listas!$A$5:$A$30,0)),""))</f>
        <v/>
      </c>
      <c r="G206" s="26"/>
      <c r="H206" s="29" t="str">
        <f aca="true">IF(OR(A206="",F206="",G206="Concluído"),"",F206-TODAY())</f>
        <v/>
      </c>
      <c r="I206" s="30" t="str">
        <f aca="false">IF(A206="","",IF(G206="Concluído","✅ Concluído",IF(F206="","⚪ Sem prazo",IF(H206&lt;0,"🔴 COBRAR · "&amp;-H206&amp;" dia(s) atrasado",IF(H206=0,"🟠 Vence HOJE",IF(H206&lt;=3,"🟠 Vence em "&amp;H206&amp;" dia(s)","🟢 No prazo"))))))</f>
        <v/>
      </c>
      <c r="J206" s="27"/>
      <c r="K206" s="26"/>
      <c r="L206" s="30" t="str">
        <f aca="true">IF(OR(A206="",G206="Concluído",F206=""),"",IF(F206&lt;=TODAY()+3,F206+ROW()/1000000,""))</f>
        <v/>
      </c>
    </row>
    <row r="207" customFormat="false" ht="15" hidden="false" customHeight="false" outlineLevel="0" collapsed="false">
      <c r="A207" s="26"/>
      <c r="B207" s="26"/>
      <c r="C207" s="27"/>
      <c r="D207" s="26"/>
      <c r="E207" s="26"/>
      <c r="F207" s="28" t="str">
        <f aca="false">IF(OR(C207="",D207=""),"",IFERROR(C207-INDEX(Listas!$B$5:$B$30,MATCH(D207,Listas!$A$5:$A$30,0)),""))</f>
        <v/>
      </c>
      <c r="G207" s="26"/>
      <c r="H207" s="29" t="str">
        <f aca="true">IF(OR(A207="",F207="",G207="Concluído"),"",F207-TODAY())</f>
        <v/>
      </c>
      <c r="I207" s="30" t="str">
        <f aca="false">IF(A207="","",IF(G207="Concluído","✅ Concluído",IF(F207="","⚪ Sem prazo",IF(H207&lt;0,"🔴 COBRAR · "&amp;-H207&amp;" dia(s) atrasado",IF(H207=0,"🟠 Vence HOJE",IF(H207&lt;=3,"🟠 Vence em "&amp;H207&amp;" dia(s)","🟢 No prazo"))))))</f>
        <v/>
      </c>
      <c r="J207" s="27"/>
      <c r="K207" s="26"/>
      <c r="L207" s="30" t="str">
        <f aca="true">IF(OR(A207="",G207="Concluído",F207=""),"",IF(F207&lt;=TODAY()+3,F207+ROW()/1000000,""))</f>
        <v/>
      </c>
    </row>
    <row r="208" customFormat="false" ht="15" hidden="false" customHeight="false" outlineLevel="0" collapsed="false">
      <c r="A208" s="26"/>
      <c r="B208" s="26"/>
      <c r="C208" s="27"/>
      <c r="D208" s="26"/>
      <c r="E208" s="26"/>
      <c r="F208" s="28" t="str">
        <f aca="false">IF(OR(C208="",D208=""),"",IFERROR(C208-INDEX(Listas!$B$5:$B$30,MATCH(D208,Listas!$A$5:$A$30,0)),""))</f>
        <v/>
      </c>
      <c r="G208" s="26"/>
      <c r="H208" s="29" t="str">
        <f aca="true">IF(OR(A208="",F208="",G208="Concluído"),"",F208-TODAY())</f>
        <v/>
      </c>
      <c r="I208" s="30" t="str">
        <f aca="false">IF(A208="","",IF(G208="Concluído","✅ Concluído",IF(F208="","⚪ Sem prazo",IF(H208&lt;0,"🔴 COBRAR · "&amp;-H208&amp;" dia(s) atrasado",IF(H208=0,"🟠 Vence HOJE",IF(H208&lt;=3,"🟠 Vence em "&amp;H208&amp;" dia(s)","🟢 No prazo"))))))</f>
        <v/>
      </c>
      <c r="J208" s="27"/>
      <c r="K208" s="26"/>
      <c r="L208" s="30" t="str">
        <f aca="true">IF(OR(A208="",G208="Concluído",F208=""),"",IF(F208&lt;=TODAY()+3,F208+ROW()/1000000,""))</f>
        <v/>
      </c>
    </row>
    <row r="209" customFormat="false" ht="15" hidden="false" customHeight="false" outlineLevel="0" collapsed="false">
      <c r="A209" s="26"/>
      <c r="B209" s="26"/>
      <c r="C209" s="27"/>
      <c r="D209" s="26"/>
      <c r="E209" s="26"/>
      <c r="F209" s="28" t="str">
        <f aca="false">IF(OR(C209="",D209=""),"",IFERROR(C209-INDEX(Listas!$B$5:$B$30,MATCH(D209,Listas!$A$5:$A$30,0)),""))</f>
        <v/>
      </c>
      <c r="G209" s="26"/>
      <c r="H209" s="29" t="str">
        <f aca="true">IF(OR(A209="",F209="",G209="Concluído"),"",F209-TODAY())</f>
        <v/>
      </c>
      <c r="I209" s="30" t="str">
        <f aca="false">IF(A209="","",IF(G209="Concluído","✅ Concluído",IF(F209="","⚪ Sem prazo",IF(H209&lt;0,"🔴 COBRAR · "&amp;-H209&amp;" dia(s) atrasado",IF(H209=0,"🟠 Vence HOJE",IF(H209&lt;=3,"🟠 Vence em "&amp;H209&amp;" dia(s)","🟢 No prazo"))))))</f>
        <v/>
      </c>
      <c r="J209" s="27"/>
      <c r="K209" s="26"/>
      <c r="L209" s="30" t="str">
        <f aca="true">IF(OR(A209="",G209="Concluído",F209=""),"",IF(F209&lt;=TODAY()+3,F209+ROW()/1000000,""))</f>
        <v/>
      </c>
    </row>
    <row r="210" customFormat="false" ht="15" hidden="false" customHeight="false" outlineLevel="0" collapsed="false">
      <c r="A210" s="26"/>
      <c r="B210" s="26"/>
      <c r="C210" s="27"/>
      <c r="D210" s="26"/>
      <c r="E210" s="26"/>
      <c r="F210" s="28" t="str">
        <f aca="false">IF(OR(C210="",D210=""),"",IFERROR(C210-INDEX(Listas!$B$5:$B$30,MATCH(D210,Listas!$A$5:$A$30,0)),""))</f>
        <v/>
      </c>
      <c r="G210" s="26"/>
      <c r="H210" s="29" t="str">
        <f aca="true">IF(OR(A210="",F210="",G210="Concluído"),"",F210-TODAY())</f>
        <v/>
      </c>
      <c r="I210" s="30" t="str">
        <f aca="false">IF(A210="","",IF(G210="Concluído","✅ Concluído",IF(F210="","⚪ Sem prazo",IF(H210&lt;0,"🔴 COBRAR · "&amp;-H210&amp;" dia(s) atrasado",IF(H210=0,"🟠 Vence HOJE",IF(H210&lt;=3,"🟠 Vence em "&amp;H210&amp;" dia(s)","🟢 No prazo"))))))</f>
        <v/>
      </c>
      <c r="J210" s="27"/>
      <c r="K210" s="26"/>
      <c r="L210" s="30" t="str">
        <f aca="true">IF(OR(A210="",G210="Concluído",F210=""),"",IF(F210&lt;=TODAY()+3,F210+ROW()/1000000,""))</f>
        <v/>
      </c>
    </row>
    <row r="211" customFormat="false" ht="15" hidden="false" customHeight="false" outlineLevel="0" collapsed="false">
      <c r="A211" s="26"/>
      <c r="B211" s="26"/>
      <c r="C211" s="27"/>
      <c r="D211" s="26"/>
      <c r="E211" s="26"/>
      <c r="F211" s="28" t="str">
        <f aca="false">IF(OR(C211="",D211=""),"",IFERROR(C211-INDEX(Listas!$B$5:$B$30,MATCH(D211,Listas!$A$5:$A$30,0)),""))</f>
        <v/>
      </c>
      <c r="G211" s="26"/>
      <c r="H211" s="29" t="str">
        <f aca="true">IF(OR(A211="",F211="",G211="Concluído"),"",F211-TODAY())</f>
        <v/>
      </c>
      <c r="I211" s="30" t="str">
        <f aca="false">IF(A211="","",IF(G211="Concluído","✅ Concluído",IF(F211="","⚪ Sem prazo",IF(H211&lt;0,"🔴 COBRAR · "&amp;-H211&amp;" dia(s) atrasado",IF(H211=0,"🟠 Vence HOJE",IF(H211&lt;=3,"🟠 Vence em "&amp;H211&amp;" dia(s)","🟢 No prazo"))))))</f>
        <v/>
      </c>
      <c r="J211" s="27"/>
      <c r="K211" s="26"/>
      <c r="L211" s="30" t="str">
        <f aca="true">IF(OR(A211="",G211="Concluído",F211=""),"",IF(F211&lt;=TODAY()+3,F211+ROW()/1000000,""))</f>
        <v/>
      </c>
    </row>
    <row r="212" customFormat="false" ht="15" hidden="false" customHeight="false" outlineLevel="0" collapsed="false">
      <c r="A212" s="26"/>
      <c r="B212" s="26"/>
      <c r="C212" s="27"/>
      <c r="D212" s="26"/>
      <c r="E212" s="26"/>
      <c r="F212" s="28" t="str">
        <f aca="false">IF(OR(C212="",D212=""),"",IFERROR(C212-INDEX(Listas!$B$5:$B$30,MATCH(D212,Listas!$A$5:$A$30,0)),""))</f>
        <v/>
      </c>
      <c r="G212" s="26"/>
      <c r="H212" s="29" t="str">
        <f aca="true">IF(OR(A212="",F212="",G212="Concluído"),"",F212-TODAY())</f>
        <v/>
      </c>
      <c r="I212" s="30" t="str">
        <f aca="false">IF(A212="","",IF(G212="Concluído","✅ Concluído",IF(F212="","⚪ Sem prazo",IF(H212&lt;0,"🔴 COBRAR · "&amp;-H212&amp;" dia(s) atrasado",IF(H212=0,"🟠 Vence HOJE",IF(H212&lt;=3,"🟠 Vence em "&amp;H212&amp;" dia(s)","🟢 No prazo"))))))</f>
        <v/>
      </c>
      <c r="J212" s="27"/>
      <c r="K212" s="26"/>
      <c r="L212" s="30" t="str">
        <f aca="true">IF(OR(A212="",G212="Concluído",F212=""),"",IF(F212&lt;=TODAY()+3,F212+ROW()/1000000,""))</f>
        <v/>
      </c>
    </row>
    <row r="213" customFormat="false" ht="15" hidden="false" customHeight="false" outlineLevel="0" collapsed="false">
      <c r="A213" s="26"/>
      <c r="B213" s="26"/>
      <c r="C213" s="27"/>
      <c r="D213" s="26"/>
      <c r="E213" s="26"/>
      <c r="F213" s="28" t="str">
        <f aca="false">IF(OR(C213="",D213=""),"",IFERROR(C213-INDEX(Listas!$B$5:$B$30,MATCH(D213,Listas!$A$5:$A$30,0)),""))</f>
        <v/>
      </c>
      <c r="G213" s="26"/>
      <c r="H213" s="29" t="str">
        <f aca="true">IF(OR(A213="",F213="",G213="Concluído"),"",F213-TODAY())</f>
        <v/>
      </c>
      <c r="I213" s="30" t="str">
        <f aca="false">IF(A213="","",IF(G213="Concluído","✅ Concluído",IF(F213="","⚪ Sem prazo",IF(H213&lt;0,"🔴 COBRAR · "&amp;-H213&amp;" dia(s) atrasado",IF(H213=0,"🟠 Vence HOJE",IF(H213&lt;=3,"🟠 Vence em "&amp;H213&amp;" dia(s)","🟢 No prazo"))))))</f>
        <v/>
      </c>
      <c r="J213" s="27"/>
      <c r="K213" s="26"/>
      <c r="L213" s="30" t="str">
        <f aca="true">IF(OR(A213="",G213="Concluído",F213=""),"",IF(F213&lt;=TODAY()+3,F213+ROW()/1000000,""))</f>
        <v/>
      </c>
    </row>
    <row r="214" customFormat="false" ht="15" hidden="false" customHeight="false" outlineLevel="0" collapsed="false">
      <c r="A214" s="26"/>
      <c r="B214" s="26"/>
      <c r="C214" s="27"/>
      <c r="D214" s="26"/>
      <c r="E214" s="26"/>
      <c r="F214" s="28" t="str">
        <f aca="false">IF(OR(C214="",D214=""),"",IFERROR(C214-INDEX(Listas!$B$5:$B$30,MATCH(D214,Listas!$A$5:$A$30,0)),""))</f>
        <v/>
      </c>
      <c r="G214" s="26"/>
      <c r="H214" s="29" t="str">
        <f aca="true">IF(OR(A214="",F214="",G214="Concluído"),"",F214-TODAY())</f>
        <v/>
      </c>
      <c r="I214" s="30" t="str">
        <f aca="false">IF(A214="","",IF(G214="Concluído","✅ Concluído",IF(F214="","⚪ Sem prazo",IF(H214&lt;0,"🔴 COBRAR · "&amp;-H214&amp;" dia(s) atrasado",IF(H214=0,"🟠 Vence HOJE",IF(H214&lt;=3,"🟠 Vence em "&amp;H214&amp;" dia(s)","🟢 No prazo"))))))</f>
        <v/>
      </c>
      <c r="J214" s="27"/>
      <c r="K214" s="26"/>
      <c r="L214" s="30" t="str">
        <f aca="true">IF(OR(A214="",G214="Concluído",F214=""),"",IF(F214&lt;=TODAY()+3,F214+ROW()/1000000,""))</f>
        <v/>
      </c>
    </row>
    <row r="215" customFormat="false" ht="15" hidden="false" customHeight="false" outlineLevel="0" collapsed="false">
      <c r="A215" s="26"/>
      <c r="B215" s="26"/>
      <c r="C215" s="27"/>
      <c r="D215" s="26"/>
      <c r="E215" s="26"/>
      <c r="F215" s="28" t="str">
        <f aca="false">IF(OR(C215="",D215=""),"",IFERROR(C215-INDEX(Listas!$B$5:$B$30,MATCH(D215,Listas!$A$5:$A$30,0)),""))</f>
        <v/>
      </c>
      <c r="G215" s="26"/>
      <c r="H215" s="29" t="str">
        <f aca="true">IF(OR(A215="",F215="",G215="Concluído"),"",F215-TODAY())</f>
        <v/>
      </c>
      <c r="I215" s="30" t="str">
        <f aca="false">IF(A215="","",IF(G215="Concluído","✅ Concluído",IF(F215="","⚪ Sem prazo",IF(H215&lt;0,"🔴 COBRAR · "&amp;-H215&amp;" dia(s) atrasado",IF(H215=0,"🟠 Vence HOJE",IF(H215&lt;=3,"🟠 Vence em "&amp;H215&amp;" dia(s)","🟢 No prazo"))))))</f>
        <v/>
      </c>
      <c r="J215" s="27"/>
      <c r="K215" s="26"/>
      <c r="L215" s="30" t="str">
        <f aca="true">IF(OR(A215="",G215="Concluído",F215=""),"",IF(F215&lt;=TODAY()+3,F215+ROW()/1000000,""))</f>
        <v/>
      </c>
    </row>
    <row r="216" customFormat="false" ht="15" hidden="false" customHeight="false" outlineLevel="0" collapsed="false">
      <c r="A216" s="26"/>
      <c r="B216" s="26"/>
      <c r="C216" s="27"/>
      <c r="D216" s="26"/>
      <c r="E216" s="26"/>
      <c r="F216" s="28" t="str">
        <f aca="false">IF(OR(C216="",D216=""),"",IFERROR(C216-INDEX(Listas!$B$5:$B$30,MATCH(D216,Listas!$A$5:$A$30,0)),""))</f>
        <v/>
      </c>
      <c r="G216" s="26"/>
      <c r="H216" s="29" t="str">
        <f aca="true">IF(OR(A216="",F216="",G216="Concluído"),"",F216-TODAY())</f>
        <v/>
      </c>
      <c r="I216" s="30" t="str">
        <f aca="false">IF(A216="","",IF(G216="Concluído","✅ Concluído",IF(F216="","⚪ Sem prazo",IF(H216&lt;0,"🔴 COBRAR · "&amp;-H216&amp;" dia(s) atrasado",IF(H216=0,"🟠 Vence HOJE",IF(H216&lt;=3,"🟠 Vence em "&amp;H216&amp;" dia(s)","🟢 No prazo"))))))</f>
        <v/>
      </c>
      <c r="J216" s="27"/>
      <c r="K216" s="26"/>
      <c r="L216" s="30" t="str">
        <f aca="true">IF(OR(A216="",G216="Concluído",F216=""),"",IF(F216&lt;=TODAY()+3,F216+ROW()/1000000,""))</f>
        <v/>
      </c>
    </row>
    <row r="217" customFormat="false" ht="15" hidden="false" customHeight="false" outlineLevel="0" collapsed="false">
      <c r="A217" s="26"/>
      <c r="B217" s="26"/>
      <c r="C217" s="27"/>
      <c r="D217" s="26"/>
      <c r="E217" s="26"/>
      <c r="F217" s="28" t="str">
        <f aca="false">IF(OR(C217="",D217=""),"",IFERROR(C217-INDEX(Listas!$B$5:$B$30,MATCH(D217,Listas!$A$5:$A$30,0)),""))</f>
        <v/>
      </c>
      <c r="G217" s="26"/>
      <c r="H217" s="29" t="str">
        <f aca="true">IF(OR(A217="",F217="",G217="Concluído"),"",F217-TODAY())</f>
        <v/>
      </c>
      <c r="I217" s="30" t="str">
        <f aca="false">IF(A217="","",IF(G217="Concluído","✅ Concluído",IF(F217="","⚪ Sem prazo",IF(H217&lt;0,"🔴 COBRAR · "&amp;-H217&amp;" dia(s) atrasado",IF(H217=0,"🟠 Vence HOJE",IF(H217&lt;=3,"🟠 Vence em "&amp;H217&amp;" dia(s)","🟢 No prazo"))))))</f>
        <v/>
      </c>
      <c r="J217" s="27"/>
      <c r="K217" s="26"/>
      <c r="L217" s="30" t="str">
        <f aca="true">IF(OR(A217="",G217="Concluído",F217=""),"",IF(F217&lt;=TODAY()+3,F217+ROW()/1000000,""))</f>
        <v/>
      </c>
    </row>
    <row r="218" customFormat="false" ht="15" hidden="false" customHeight="false" outlineLevel="0" collapsed="false">
      <c r="A218" s="26"/>
      <c r="B218" s="26"/>
      <c r="C218" s="27"/>
      <c r="D218" s="26"/>
      <c r="E218" s="26"/>
      <c r="F218" s="28" t="str">
        <f aca="false">IF(OR(C218="",D218=""),"",IFERROR(C218-INDEX(Listas!$B$5:$B$30,MATCH(D218,Listas!$A$5:$A$30,0)),""))</f>
        <v/>
      </c>
      <c r="G218" s="26"/>
      <c r="H218" s="29" t="str">
        <f aca="true">IF(OR(A218="",F218="",G218="Concluído"),"",F218-TODAY())</f>
        <v/>
      </c>
      <c r="I218" s="30" t="str">
        <f aca="false">IF(A218="","",IF(G218="Concluído","✅ Concluído",IF(F218="","⚪ Sem prazo",IF(H218&lt;0,"🔴 COBRAR · "&amp;-H218&amp;" dia(s) atrasado",IF(H218=0,"🟠 Vence HOJE",IF(H218&lt;=3,"🟠 Vence em "&amp;H218&amp;" dia(s)","🟢 No prazo"))))))</f>
        <v/>
      </c>
      <c r="J218" s="27"/>
      <c r="K218" s="26"/>
      <c r="L218" s="30" t="str">
        <f aca="true">IF(OR(A218="",G218="Concluído",F218=""),"",IF(F218&lt;=TODAY()+3,F218+ROW()/1000000,""))</f>
        <v/>
      </c>
    </row>
    <row r="219" customFormat="false" ht="15" hidden="false" customHeight="false" outlineLevel="0" collapsed="false">
      <c r="A219" s="26"/>
      <c r="B219" s="26"/>
      <c r="C219" s="27"/>
      <c r="D219" s="26"/>
      <c r="E219" s="26"/>
      <c r="F219" s="28" t="str">
        <f aca="false">IF(OR(C219="",D219=""),"",IFERROR(C219-INDEX(Listas!$B$5:$B$30,MATCH(D219,Listas!$A$5:$A$30,0)),""))</f>
        <v/>
      </c>
      <c r="G219" s="26"/>
      <c r="H219" s="29" t="str">
        <f aca="true">IF(OR(A219="",F219="",G219="Concluído"),"",F219-TODAY())</f>
        <v/>
      </c>
      <c r="I219" s="30" t="str">
        <f aca="false">IF(A219="","",IF(G219="Concluído","✅ Concluído",IF(F219="","⚪ Sem prazo",IF(H219&lt;0,"🔴 COBRAR · "&amp;-H219&amp;" dia(s) atrasado",IF(H219=0,"🟠 Vence HOJE",IF(H219&lt;=3,"🟠 Vence em "&amp;H219&amp;" dia(s)","🟢 No prazo"))))))</f>
        <v/>
      </c>
      <c r="J219" s="27"/>
      <c r="K219" s="26"/>
      <c r="L219" s="30" t="str">
        <f aca="true">IF(OR(A219="",G219="Concluído",F219=""),"",IF(F219&lt;=TODAY()+3,F219+ROW()/1000000,""))</f>
        <v/>
      </c>
    </row>
    <row r="220" customFormat="false" ht="15" hidden="false" customHeight="false" outlineLevel="0" collapsed="false">
      <c r="A220" s="26"/>
      <c r="B220" s="26"/>
      <c r="C220" s="27"/>
      <c r="D220" s="26"/>
      <c r="E220" s="26"/>
      <c r="F220" s="28" t="str">
        <f aca="false">IF(OR(C220="",D220=""),"",IFERROR(C220-INDEX(Listas!$B$5:$B$30,MATCH(D220,Listas!$A$5:$A$30,0)),""))</f>
        <v/>
      </c>
      <c r="G220" s="26"/>
      <c r="H220" s="29" t="str">
        <f aca="true">IF(OR(A220="",F220="",G220="Concluído"),"",F220-TODAY())</f>
        <v/>
      </c>
      <c r="I220" s="30" t="str">
        <f aca="false">IF(A220="","",IF(G220="Concluído","✅ Concluído",IF(F220="","⚪ Sem prazo",IF(H220&lt;0,"🔴 COBRAR · "&amp;-H220&amp;" dia(s) atrasado",IF(H220=0,"🟠 Vence HOJE",IF(H220&lt;=3,"🟠 Vence em "&amp;H220&amp;" dia(s)","🟢 No prazo"))))))</f>
        <v/>
      </c>
      <c r="J220" s="27"/>
      <c r="K220" s="26"/>
      <c r="L220" s="30" t="str">
        <f aca="true">IF(OR(A220="",G220="Concluído",F220=""),"",IF(F220&lt;=TODAY()+3,F220+ROW()/1000000,""))</f>
        <v/>
      </c>
    </row>
    <row r="221" customFormat="false" ht="15" hidden="false" customHeight="false" outlineLevel="0" collapsed="false">
      <c r="A221" s="26"/>
      <c r="B221" s="26"/>
      <c r="C221" s="27"/>
      <c r="D221" s="26"/>
      <c r="E221" s="26"/>
      <c r="F221" s="28" t="str">
        <f aca="false">IF(OR(C221="",D221=""),"",IFERROR(C221-INDEX(Listas!$B$5:$B$30,MATCH(D221,Listas!$A$5:$A$30,0)),""))</f>
        <v/>
      </c>
      <c r="G221" s="26"/>
      <c r="H221" s="29" t="str">
        <f aca="true">IF(OR(A221="",F221="",G221="Concluído"),"",F221-TODAY())</f>
        <v/>
      </c>
      <c r="I221" s="30" t="str">
        <f aca="false">IF(A221="","",IF(G221="Concluído","✅ Concluído",IF(F221="","⚪ Sem prazo",IF(H221&lt;0,"🔴 COBRAR · "&amp;-H221&amp;" dia(s) atrasado",IF(H221=0,"🟠 Vence HOJE",IF(H221&lt;=3,"🟠 Vence em "&amp;H221&amp;" dia(s)","🟢 No prazo"))))))</f>
        <v/>
      </c>
      <c r="J221" s="27"/>
      <c r="K221" s="26"/>
      <c r="L221" s="30" t="str">
        <f aca="true">IF(OR(A221="",G221="Concluído",F221=""),"",IF(F221&lt;=TODAY()+3,F221+ROW()/1000000,""))</f>
        <v/>
      </c>
    </row>
    <row r="222" customFormat="false" ht="15" hidden="false" customHeight="false" outlineLevel="0" collapsed="false">
      <c r="A222" s="26"/>
      <c r="B222" s="26"/>
      <c r="C222" s="27"/>
      <c r="D222" s="26"/>
      <c r="E222" s="26"/>
      <c r="F222" s="28" t="str">
        <f aca="false">IF(OR(C222="",D222=""),"",IFERROR(C222-INDEX(Listas!$B$5:$B$30,MATCH(D222,Listas!$A$5:$A$30,0)),""))</f>
        <v/>
      </c>
      <c r="G222" s="26"/>
      <c r="H222" s="29" t="str">
        <f aca="true">IF(OR(A222="",F222="",G222="Concluído"),"",F222-TODAY())</f>
        <v/>
      </c>
      <c r="I222" s="30" t="str">
        <f aca="false">IF(A222="","",IF(G222="Concluído","✅ Concluído",IF(F222="","⚪ Sem prazo",IF(H222&lt;0,"🔴 COBRAR · "&amp;-H222&amp;" dia(s) atrasado",IF(H222=0,"🟠 Vence HOJE",IF(H222&lt;=3,"🟠 Vence em "&amp;H222&amp;" dia(s)","🟢 No prazo"))))))</f>
        <v/>
      </c>
      <c r="J222" s="27"/>
      <c r="K222" s="26"/>
      <c r="L222" s="30" t="str">
        <f aca="true">IF(OR(A222="",G222="Concluído",F222=""),"",IF(F222&lt;=TODAY()+3,F222+ROW()/1000000,""))</f>
        <v/>
      </c>
    </row>
    <row r="223" customFormat="false" ht="15" hidden="false" customHeight="false" outlineLevel="0" collapsed="false">
      <c r="A223" s="26"/>
      <c r="B223" s="26"/>
      <c r="C223" s="27"/>
      <c r="D223" s="26"/>
      <c r="E223" s="26"/>
      <c r="F223" s="28" t="str">
        <f aca="false">IF(OR(C223="",D223=""),"",IFERROR(C223-INDEX(Listas!$B$5:$B$30,MATCH(D223,Listas!$A$5:$A$30,0)),""))</f>
        <v/>
      </c>
      <c r="G223" s="26"/>
      <c r="H223" s="29" t="str">
        <f aca="true">IF(OR(A223="",F223="",G223="Concluído"),"",F223-TODAY())</f>
        <v/>
      </c>
      <c r="I223" s="30" t="str">
        <f aca="false">IF(A223="","",IF(G223="Concluído","✅ Concluído",IF(F223="","⚪ Sem prazo",IF(H223&lt;0,"🔴 COBRAR · "&amp;-H223&amp;" dia(s) atrasado",IF(H223=0,"🟠 Vence HOJE",IF(H223&lt;=3,"🟠 Vence em "&amp;H223&amp;" dia(s)","🟢 No prazo"))))))</f>
        <v/>
      </c>
      <c r="J223" s="27"/>
      <c r="K223" s="26"/>
      <c r="L223" s="30" t="str">
        <f aca="true">IF(OR(A223="",G223="Concluído",F223=""),"",IF(F223&lt;=TODAY()+3,F223+ROW()/1000000,""))</f>
        <v/>
      </c>
    </row>
    <row r="224" customFormat="false" ht="15" hidden="false" customHeight="false" outlineLevel="0" collapsed="false">
      <c r="A224" s="26"/>
      <c r="B224" s="26"/>
      <c r="C224" s="27"/>
      <c r="D224" s="26"/>
      <c r="E224" s="26"/>
      <c r="F224" s="28" t="str">
        <f aca="false">IF(OR(C224="",D224=""),"",IFERROR(C224-INDEX(Listas!$B$5:$B$30,MATCH(D224,Listas!$A$5:$A$30,0)),""))</f>
        <v/>
      </c>
      <c r="G224" s="26"/>
      <c r="H224" s="29" t="str">
        <f aca="true">IF(OR(A224="",F224="",G224="Concluído"),"",F224-TODAY())</f>
        <v/>
      </c>
      <c r="I224" s="30" t="str">
        <f aca="false">IF(A224="","",IF(G224="Concluído","✅ Concluído",IF(F224="","⚪ Sem prazo",IF(H224&lt;0,"🔴 COBRAR · "&amp;-H224&amp;" dia(s) atrasado",IF(H224=0,"🟠 Vence HOJE",IF(H224&lt;=3,"🟠 Vence em "&amp;H224&amp;" dia(s)","🟢 No prazo"))))))</f>
        <v/>
      </c>
      <c r="J224" s="27"/>
      <c r="K224" s="26"/>
      <c r="L224" s="30" t="str">
        <f aca="true">IF(OR(A224="",G224="Concluído",F224=""),"",IF(F224&lt;=TODAY()+3,F224+ROW()/1000000,""))</f>
        <v/>
      </c>
    </row>
    <row r="225" customFormat="false" ht="15" hidden="false" customHeight="false" outlineLevel="0" collapsed="false">
      <c r="A225" s="26"/>
      <c r="B225" s="26"/>
      <c r="C225" s="27"/>
      <c r="D225" s="26"/>
      <c r="E225" s="26"/>
      <c r="F225" s="28" t="str">
        <f aca="false">IF(OR(C225="",D225=""),"",IFERROR(C225-INDEX(Listas!$B$5:$B$30,MATCH(D225,Listas!$A$5:$A$30,0)),""))</f>
        <v/>
      </c>
      <c r="G225" s="26"/>
      <c r="H225" s="29" t="str">
        <f aca="true">IF(OR(A225="",F225="",G225="Concluído"),"",F225-TODAY())</f>
        <v/>
      </c>
      <c r="I225" s="30" t="str">
        <f aca="false">IF(A225="","",IF(G225="Concluído","✅ Concluído",IF(F225="","⚪ Sem prazo",IF(H225&lt;0,"🔴 COBRAR · "&amp;-H225&amp;" dia(s) atrasado",IF(H225=0,"🟠 Vence HOJE",IF(H225&lt;=3,"🟠 Vence em "&amp;H225&amp;" dia(s)","🟢 No prazo"))))))</f>
        <v/>
      </c>
      <c r="J225" s="27"/>
      <c r="K225" s="26"/>
      <c r="L225" s="30" t="str">
        <f aca="true">IF(OR(A225="",G225="Concluído",F225=""),"",IF(F225&lt;=TODAY()+3,F225+ROW()/1000000,""))</f>
        <v/>
      </c>
    </row>
    <row r="226" customFormat="false" ht="15" hidden="false" customHeight="false" outlineLevel="0" collapsed="false">
      <c r="A226" s="26"/>
      <c r="B226" s="26"/>
      <c r="C226" s="27"/>
      <c r="D226" s="26"/>
      <c r="E226" s="26"/>
      <c r="F226" s="28" t="str">
        <f aca="false">IF(OR(C226="",D226=""),"",IFERROR(C226-INDEX(Listas!$B$5:$B$30,MATCH(D226,Listas!$A$5:$A$30,0)),""))</f>
        <v/>
      </c>
      <c r="G226" s="26"/>
      <c r="H226" s="29" t="str">
        <f aca="true">IF(OR(A226="",F226="",G226="Concluído"),"",F226-TODAY())</f>
        <v/>
      </c>
      <c r="I226" s="30" t="str">
        <f aca="false">IF(A226="","",IF(G226="Concluído","✅ Concluído",IF(F226="","⚪ Sem prazo",IF(H226&lt;0,"🔴 COBRAR · "&amp;-H226&amp;" dia(s) atrasado",IF(H226=0,"🟠 Vence HOJE",IF(H226&lt;=3,"🟠 Vence em "&amp;H226&amp;" dia(s)","🟢 No prazo"))))))</f>
        <v/>
      </c>
      <c r="J226" s="27"/>
      <c r="K226" s="26"/>
      <c r="L226" s="30" t="str">
        <f aca="true">IF(OR(A226="",G226="Concluído",F226=""),"",IF(F226&lt;=TODAY()+3,F226+ROW()/1000000,""))</f>
        <v/>
      </c>
    </row>
    <row r="227" customFormat="false" ht="15" hidden="false" customHeight="false" outlineLevel="0" collapsed="false">
      <c r="A227" s="26"/>
      <c r="B227" s="26"/>
      <c r="C227" s="27"/>
      <c r="D227" s="26"/>
      <c r="E227" s="26"/>
      <c r="F227" s="28" t="str">
        <f aca="false">IF(OR(C227="",D227=""),"",IFERROR(C227-INDEX(Listas!$B$5:$B$30,MATCH(D227,Listas!$A$5:$A$30,0)),""))</f>
        <v/>
      </c>
      <c r="G227" s="26"/>
      <c r="H227" s="29" t="str">
        <f aca="true">IF(OR(A227="",F227="",G227="Concluído"),"",F227-TODAY())</f>
        <v/>
      </c>
      <c r="I227" s="30" t="str">
        <f aca="false">IF(A227="","",IF(G227="Concluído","✅ Concluído",IF(F227="","⚪ Sem prazo",IF(H227&lt;0,"🔴 COBRAR · "&amp;-H227&amp;" dia(s) atrasado",IF(H227=0,"🟠 Vence HOJE",IF(H227&lt;=3,"🟠 Vence em "&amp;H227&amp;" dia(s)","🟢 No prazo"))))))</f>
        <v/>
      </c>
      <c r="J227" s="27"/>
      <c r="K227" s="26"/>
      <c r="L227" s="30" t="str">
        <f aca="true">IF(OR(A227="",G227="Concluído",F227=""),"",IF(F227&lt;=TODAY()+3,F227+ROW()/1000000,""))</f>
        <v/>
      </c>
    </row>
    <row r="228" customFormat="false" ht="15" hidden="false" customHeight="false" outlineLevel="0" collapsed="false">
      <c r="A228" s="26"/>
      <c r="B228" s="26"/>
      <c r="C228" s="27"/>
      <c r="D228" s="26"/>
      <c r="E228" s="26"/>
      <c r="F228" s="28" t="str">
        <f aca="false">IF(OR(C228="",D228=""),"",IFERROR(C228-INDEX(Listas!$B$5:$B$30,MATCH(D228,Listas!$A$5:$A$30,0)),""))</f>
        <v/>
      </c>
      <c r="G228" s="26"/>
      <c r="H228" s="29" t="str">
        <f aca="true">IF(OR(A228="",F228="",G228="Concluído"),"",F228-TODAY())</f>
        <v/>
      </c>
      <c r="I228" s="30" t="str">
        <f aca="false">IF(A228="","",IF(G228="Concluído","✅ Concluído",IF(F228="","⚪ Sem prazo",IF(H228&lt;0,"🔴 COBRAR · "&amp;-H228&amp;" dia(s) atrasado",IF(H228=0,"🟠 Vence HOJE",IF(H228&lt;=3,"🟠 Vence em "&amp;H228&amp;" dia(s)","🟢 No prazo"))))))</f>
        <v/>
      </c>
      <c r="J228" s="27"/>
      <c r="K228" s="26"/>
      <c r="L228" s="30" t="str">
        <f aca="true">IF(OR(A228="",G228="Concluído",F228=""),"",IF(F228&lt;=TODAY()+3,F228+ROW()/1000000,""))</f>
        <v/>
      </c>
    </row>
    <row r="229" customFormat="false" ht="15" hidden="false" customHeight="false" outlineLevel="0" collapsed="false">
      <c r="A229" s="26"/>
      <c r="B229" s="26"/>
      <c r="C229" s="27"/>
      <c r="D229" s="26"/>
      <c r="E229" s="26"/>
      <c r="F229" s="28" t="str">
        <f aca="false">IF(OR(C229="",D229=""),"",IFERROR(C229-INDEX(Listas!$B$5:$B$30,MATCH(D229,Listas!$A$5:$A$30,0)),""))</f>
        <v/>
      </c>
      <c r="G229" s="26"/>
      <c r="H229" s="29" t="str">
        <f aca="true">IF(OR(A229="",F229="",G229="Concluído"),"",F229-TODAY())</f>
        <v/>
      </c>
      <c r="I229" s="30" t="str">
        <f aca="false">IF(A229="","",IF(G229="Concluído","✅ Concluído",IF(F229="","⚪ Sem prazo",IF(H229&lt;0,"🔴 COBRAR · "&amp;-H229&amp;" dia(s) atrasado",IF(H229=0,"🟠 Vence HOJE",IF(H229&lt;=3,"🟠 Vence em "&amp;H229&amp;" dia(s)","🟢 No prazo"))))))</f>
        <v/>
      </c>
      <c r="J229" s="27"/>
      <c r="K229" s="26"/>
      <c r="L229" s="30" t="str">
        <f aca="true">IF(OR(A229="",G229="Concluído",F229=""),"",IF(F229&lt;=TODAY()+3,F229+ROW()/1000000,""))</f>
        <v/>
      </c>
    </row>
    <row r="230" customFormat="false" ht="15" hidden="false" customHeight="false" outlineLevel="0" collapsed="false">
      <c r="A230" s="26"/>
      <c r="B230" s="26"/>
      <c r="C230" s="27"/>
      <c r="D230" s="26"/>
      <c r="E230" s="26"/>
      <c r="F230" s="28" t="str">
        <f aca="false">IF(OR(C230="",D230=""),"",IFERROR(C230-INDEX(Listas!$B$5:$B$30,MATCH(D230,Listas!$A$5:$A$30,0)),""))</f>
        <v/>
      </c>
      <c r="G230" s="26"/>
      <c r="H230" s="29" t="str">
        <f aca="true">IF(OR(A230="",F230="",G230="Concluído"),"",F230-TODAY())</f>
        <v/>
      </c>
      <c r="I230" s="30" t="str">
        <f aca="false">IF(A230="","",IF(G230="Concluído","✅ Concluído",IF(F230="","⚪ Sem prazo",IF(H230&lt;0,"🔴 COBRAR · "&amp;-H230&amp;" dia(s) atrasado",IF(H230=0,"🟠 Vence HOJE",IF(H230&lt;=3,"🟠 Vence em "&amp;H230&amp;" dia(s)","🟢 No prazo"))))))</f>
        <v/>
      </c>
      <c r="J230" s="27"/>
      <c r="K230" s="26"/>
      <c r="L230" s="30" t="str">
        <f aca="true">IF(OR(A230="",G230="Concluído",F230=""),"",IF(F230&lt;=TODAY()+3,F230+ROW()/1000000,""))</f>
        <v/>
      </c>
    </row>
    <row r="231" customFormat="false" ht="15" hidden="false" customHeight="false" outlineLevel="0" collapsed="false">
      <c r="A231" s="26"/>
      <c r="B231" s="26"/>
      <c r="C231" s="27"/>
      <c r="D231" s="26"/>
      <c r="E231" s="26"/>
      <c r="F231" s="28" t="str">
        <f aca="false">IF(OR(C231="",D231=""),"",IFERROR(C231-INDEX(Listas!$B$5:$B$30,MATCH(D231,Listas!$A$5:$A$30,0)),""))</f>
        <v/>
      </c>
      <c r="G231" s="26"/>
      <c r="H231" s="29" t="str">
        <f aca="true">IF(OR(A231="",F231="",G231="Concluído"),"",F231-TODAY())</f>
        <v/>
      </c>
      <c r="I231" s="30" t="str">
        <f aca="false">IF(A231="","",IF(G231="Concluído","✅ Concluído",IF(F231="","⚪ Sem prazo",IF(H231&lt;0,"🔴 COBRAR · "&amp;-H231&amp;" dia(s) atrasado",IF(H231=0,"🟠 Vence HOJE",IF(H231&lt;=3,"🟠 Vence em "&amp;H231&amp;" dia(s)","🟢 No prazo"))))))</f>
        <v/>
      </c>
      <c r="J231" s="27"/>
      <c r="K231" s="26"/>
      <c r="L231" s="30" t="str">
        <f aca="true">IF(OR(A231="",G231="Concluído",F231=""),"",IF(F231&lt;=TODAY()+3,F231+ROW()/1000000,""))</f>
        <v/>
      </c>
    </row>
    <row r="232" customFormat="false" ht="15" hidden="false" customHeight="false" outlineLevel="0" collapsed="false">
      <c r="A232" s="26"/>
      <c r="B232" s="26"/>
      <c r="C232" s="27"/>
      <c r="D232" s="26"/>
      <c r="E232" s="26"/>
      <c r="F232" s="28" t="str">
        <f aca="false">IF(OR(C232="",D232=""),"",IFERROR(C232-INDEX(Listas!$B$5:$B$30,MATCH(D232,Listas!$A$5:$A$30,0)),""))</f>
        <v/>
      </c>
      <c r="G232" s="26"/>
      <c r="H232" s="29" t="str">
        <f aca="true">IF(OR(A232="",F232="",G232="Concluído"),"",F232-TODAY())</f>
        <v/>
      </c>
      <c r="I232" s="30" t="str">
        <f aca="false">IF(A232="","",IF(G232="Concluído","✅ Concluído",IF(F232="","⚪ Sem prazo",IF(H232&lt;0,"🔴 COBRAR · "&amp;-H232&amp;" dia(s) atrasado",IF(H232=0,"🟠 Vence HOJE",IF(H232&lt;=3,"🟠 Vence em "&amp;H232&amp;" dia(s)","🟢 No prazo"))))))</f>
        <v/>
      </c>
      <c r="J232" s="27"/>
      <c r="K232" s="26"/>
      <c r="L232" s="30" t="str">
        <f aca="true">IF(OR(A232="",G232="Concluído",F232=""),"",IF(F232&lt;=TODAY()+3,F232+ROW()/1000000,""))</f>
        <v/>
      </c>
    </row>
    <row r="233" customFormat="false" ht="15" hidden="false" customHeight="false" outlineLevel="0" collapsed="false">
      <c r="A233" s="26"/>
      <c r="B233" s="26"/>
      <c r="C233" s="27"/>
      <c r="D233" s="26"/>
      <c r="E233" s="26"/>
      <c r="F233" s="28" t="str">
        <f aca="false">IF(OR(C233="",D233=""),"",IFERROR(C233-INDEX(Listas!$B$5:$B$30,MATCH(D233,Listas!$A$5:$A$30,0)),""))</f>
        <v/>
      </c>
      <c r="G233" s="26"/>
      <c r="H233" s="29" t="str">
        <f aca="true">IF(OR(A233="",F233="",G233="Concluído"),"",F233-TODAY())</f>
        <v/>
      </c>
      <c r="I233" s="30" t="str">
        <f aca="false">IF(A233="","",IF(G233="Concluído","✅ Concluído",IF(F233="","⚪ Sem prazo",IF(H233&lt;0,"🔴 COBRAR · "&amp;-H233&amp;" dia(s) atrasado",IF(H233=0,"🟠 Vence HOJE",IF(H233&lt;=3,"🟠 Vence em "&amp;H233&amp;" dia(s)","🟢 No prazo"))))))</f>
        <v/>
      </c>
      <c r="J233" s="27"/>
      <c r="K233" s="26"/>
      <c r="L233" s="30" t="str">
        <f aca="true">IF(OR(A233="",G233="Concluído",F233=""),"",IF(F233&lt;=TODAY()+3,F233+ROW()/1000000,""))</f>
        <v/>
      </c>
    </row>
    <row r="234" customFormat="false" ht="15" hidden="false" customHeight="false" outlineLevel="0" collapsed="false">
      <c r="A234" s="26"/>
      <c r="B234" s="26"/>
      <c r="C234" s="27"/>
      <c r="D234" s="26"/>
      <c r="E234" s="26"/>
      <c r="F234" s="28" t="str">
        <f aca="false">IF(OR(C234="",D234=""),"",IFERROR(C234-INDEX(Listas!$B$5:$B$30,MATCH(D234,Listas!$A$5:$A$30,0)),""))</f>
        <v/>
      </c>
      <c r="G234" s="26"/>
      <c r="H234" s="29" t="str">
        <f aca="true">IF(OR(A234="",F234="",G234="Concluído"),"",F234-TODAY())</f>
        <v/>
      </c>
      <c r="I234" s="30" t="str">
        <f aca="false">IF(A234="","",IF(G234="Concluído","✅ Concluído",IF(F234="","⚪ Sem prazo",IF(H234&lt;0,"🔴 COBRAR · "&amp;-H234&amp;" dia(s) atrasado",IF(H234=0,"🟠 Vence HOJE",IF(H234&lt;=3,"🟠 Vence em "&amp;H234&amp;" dia(s)","🟢 No prazo"))))))</f>
        <v/>
      </c>
      <c r="J234" s="27"/>
      <c r="K234" s="26"/>
      <c r="L234" s="30" t="str">
        <f aca="true">IF(OR(A234="",G234="Concluído",F234=""),"",IF(F234&lt;=TODAY()+3,F234+ROW()/1000000,""))</f>
        <v/>
      </c>
    </row>
    <row r="235" customFormat="false" ht="15" hidden="false" customHeight="false" outlineLevel="0" collapsed="false">
      <c r="A235" s="26"/>
      <c r="B235" s="26"/>
      <c r="C235" s="27"/>
      <c r="D235" s="26"/>
      <c r="E235" s="26"/>
      <c r="F235" s="28" t="str">
        <f aca="false">IF(OR(C235="",D235=""),"",IFERROR(C235-INDEX(Listas!$B$5:$B$30,MATCH(D235,Listas!$A$5:$A$30,0)),""))</f>
        <v/>
      </c>
      <c r="G235" s="26"/>
      <c r="H235" s="29" t="str">
        <f aca="true">IF(OR(A235="",F235="",G235="Concluído"),"",F235-TODAY())</f>
        <v/>
      </c>
      <c r="I235" s="30" t="str">
        <f aca="false">IF(A235="","",IF(G235="Concluído","✅ Concluído",IF(F235="","⚪ Sem prazo",IF(H235&lt;0,"🔴 COBRAR · "&amp;-H235&amp;" dia(s) atrasado",IF(H235=0,"🟠 Vence HOJE",IF(H235&lt;=3,"🟠 Vence em "&amp;H235&amp;" dia(s)","🟢 No prazo"))))))</f>
        <v/>
      </c>
      <c r="J235" s="27"/>
      <c r="K235" s="26"/>
      <c r="L235" s="30" t="str">
        <f aca="true">IF(OR(A235="",G235="Concluído",F235=""),"",IF(F235&lt;=TODAY()+3,F235+ROW()/1000000,""))</f>
        <v/>
      </c>
    </row>
    <row r="236" customFormat="false" ht="15" hidden="false" customHeight="false" outlineLevel="0" collapsed="false">
      <c r="A236" s="26"/>
      <c r="B236" s="26"/>
      <c r="C236" s="27"/>
      <c r="D236" s="26"/>
      <c r="E236" s="26"/>
      <c r="F236" s="28" t="str">
        <f aca="false">IF(OR(C236="",D236=""),"",IFERROR(C236-INDEX(Listas!$B$5:$B$30,MATCH(D236,Listas!$A$5:$A$30,0)),""))</f>
        <v/>
      </c>
      <c r="G236" s="26"/>
      <c r="H236" s="29" t="str">
        <f aca="true">IF(OR(A236="",F236="",G236="Concluído"),"",F236-TODAY())</f>
        <v/>
      </c>
      <c r="I236" s="30" t="str">
        <f aca="false">IF(A236="","",IF(G236="Concluído","✅ Concluído",IF(F236="","⚪ Sem prazo",IF(H236&lt;0,"🔴 COBRAR · "&amp;-H236&amp;" dia(s) atrasado",IF(H236=0,"🟠 Vence HOJE",IF(H236&lt;=3,"🟠 Vence em "&amp;H236&amp;" dia(s)","🟢 No prazo"))))))</f>
        <v/>
      </c>
      <c r="J236" s="27"/>
      <c r="K236" s="26"/>
      <c r="L236" s="30" t="str">
        <f aca="true">IF(OR(A236="",G236="Concluído",F236=""),"",IF(F236&lt;=TODAY()+3,F236+ROW()/1000000,""))</f>
        <v/>
      </c>
    </row>
    <row r="237" customFormat="false" ht="15" hidden="false" customHeight="false" outlineLevel="0" collapsed="false">
      <c r="A237" s="26"/>
      <c r="B237" s="26"/>
      <c r="C237" s="27"/>
      <c r="D237" s="26"/>
      <c r="E237" s="26"/>
      <c r="F237" s="28" t="str">
        <f aca="false">IF(OR(C237="",D237=""),"",IFERROR(C237-INDEX(Listas!$B$5:$B$30,MATCH(D237,Listas!$A$5:$A$30,0)),""))</f>
        <v/>
      </c>
      <c r="G237" s="26"/>
      <c r="H237" s="29" t="str">
        <f aca="true">IF(OR(A237="",F237="",G237="Concluído"),"",F237-TODAY())</f>
        <v/>
      </c>
      <c r="I237" s="30" t="str">
        <f aca="false">IF(A237="","",IF(G237="Concluído","✅ Concluído",IF(F237="","⚪ Sem prazo",IF(H237&lt;0,"🔴 COBRAR · "&amp;-H237&amp;" dia(s) atrasado",IF(H237=0,"🟠 Vence HOJE",IF(H237&lt;=3,"🟠 Vence em "&amp;H237&amp;" dia(s)","🟢 No prazo"))))))</f>
        <v/>
      </c>
      <c r="J237" s="27"/>
      <c r="K237" s="26"/>
      <c r="L237" s="30" t="str">
        <f aca="true">IF(OR(A237="",G237="Concluído",F237=""),"",IF(F237&lt;=TODAY()+3,F237+ROW()/1000000,""))</f>
        <v/>
      </c>
    </row>
    <row r="238" customFormat="false" ht="15" hidden="false" customHeight="false" outlineLevel="0" collapsed="false">
      <c r="A238" s="26"/>
      <c r="B238" s="26"/>
      <c r="C238" s="27"/>
      <c r="D238" s="26"/>
      <c r="E238" s="26"/>
      <c r="F238" s="28" t="str">
        <f aca="false">IF(OR(C238="",D238=""),"",IFERROR(C238-INDEX(Listas!$B$5:$B$30,MATCH(D238,Listas!$A$5:$A$30,0)),""))</f>
        <v/>
      </c>
      <c r="G238" s="26"/>
      <c r="H238" s="29" t="str">
        <f aca="true">IF(OR(A238="",F238="",G238="Concluído"),"",F238-TODAY())</f>
        <v/>
      </c>
      <c r="I238" s="30" t="str">
        <f aca="false">IF(A238="","",IF(G238="Concluído","✅ Concluído",IF(F238="","⚪ Sem prazo",IF(H238&lt;0,"🔴 COBRAR · "&amp;-H238&amp;" dia(s) atrasado",IF(H238=0,"🟠 Vence HOJE",IF(H238&lt;=3,"🟠 Vence em "&amp;H238&amp;" dia(s)","🟢 No prazo"))))))</f>
        <v/>
      </c>
      <c r="J238" s="27"/>
      <c r="K238" s="26"/>
      <c r="L238" s="30" t="str">
        <f aca="true">IF(OR(A238="",G238="Concluído",F238=""),"",IF(F238&lt;=TODAY()+3,F238+ROW()/1000000,""))</f>
        <v/>
      </c>
    </row>
    <row r="239" customFormat="false" ht="15" hidden="false" customHeight="false" outlineLevel="0" collapsed="false">
      <c r="A239" s="26"/>
      <c r="B239" s="26"/>
      <c r="C239" s="27"/>
      <c r="D239" s="26"/>
      <c r="E239" s="26"/>
      <c r="F239" s="28" t="str">
        <f aca="false">IF(OR(C239="",D239=""),"",IFERROR(C239-INDEX(Listas!$B$5:$B$30,MATCH(D239,Listas!$A$5:$A$30,0)),""))</f>
        <v/>
      </c>
      <c r="G239" s="26"/>
      <c r="H239" s="29" t="str">
        <f aca="true">IF(OR(A239="",F239="",G239="Concluído"),"",F239-TODAY())</f>
        <v/>
      </c>
      <c r="I239" s="30" t="str">
        <f aca="false">IF(A239="","",IF(G239="Concluído","✅ Concluído",IF(F239="","⚪ Sem prazo",IF(H239&lt;0,"🔴 COBRAR · "&amp;-H239&amp;" dia(s) atrasado",IF(H239=0,"🟠 Vence HOJE",IF(H239&lt;=3,"🟠 Vence em "&amp;H239&amp;" dia(s)","🟢 No prazo"))))))</f>
        <v/>
      </c>
      <c r="J239" s="27"/>
      <c r="K239" s="26"/>
      <c r="L239" s="30" t="str">
        <f aca="true">IF(OR(A239="",G239="Concluído",F239=""),"",IF(F239&lt;=TODAY()+3,F239+ROW()/1000000,""))</f>
        <v/>
      </c>
    </row>
    <row r="240" customFormat="false" ht="15" hidden="false" customHeight="false" outlineLevel="0" collapsed="false">
      <c r="A240" s="26"/>
      <c r="B240" s="26"/>
      <c r="C240" s="27"/>
      <c r="D240" s="26"/>
      <c r="E240" s="26"/>
      <c r="F240" s="28" t="str">
        <f aca="false">IF(OR(C240="",D240=""),"",IFERROR(C240-INDEX(Listas!$B$5:$B$30,MATCH(D240,Listas!$A$5:$A$30,0)),""))</f>
        <v/>
      </c>
      <c r="G240" s="26"/>
      <c r="H240" s="29" t="str">
        <f aca="true">IF(OR(A240="",F240="",G240="Concluído"),"",F240-TODAY())</f>
        <v/>
      </c>
      <c r="I240" s="30" t="str">
        <f aca="false">IF(A240="","",IF(G240="Concluído","✅ Concluído",IF(F240="","⚪ Sem prazo",IF(H240&lt;0,"🔴 COBRAR · "&amp;-H240&amp;" dia(s) atrasado",IF(H240=0,"🟠 Vence HOJE",IF(H240&lt;=3,"🟠 Vence em "&amp;H240&amp;" dia(s)","🟢 No prazo"))))))</f>
        <v/>
      </c>
      <c r="J240" s="27"/>
      <c r="K240" s="26"/>
      <c r="L240" s="30" t="str">
        <f aca="true">IF(OR(A240="",G240="Concluído",F240=""),"",IF(F240&lt;=TODAY()+3,F240+ROW()/1000000,""))</f>
        <v/>
      </c>
    </row>
    <row r="241" customFormat="false" ht="15" hidden="false" customHeight="false" outlineLevel="0" collapsed="false">
      <c r="A241" s="26"/>
      <c r="B241" s="26"/>
      <c r="C241" s="27"/>
      <c r="D241" s="26"/>
      <c r="E241" s="26"/>
      <c r="F241" s="28" t="str">
        <f aca="false">IF(OR(C241="",D241=""),"",IFERROR(C241-INDEX(Listas!$B$5:$B$30,MATCH(D241,Listas!$A$5:$A$30,0)),""))</f>
        <v/>
      </c>
      <c r="G241" s="26"/>
      <c r="H241" s="29" t="str">
        <f aca="true">IF(OR(A241="",F241="",G241="Concluído"),"",F241-TODAY())</f>
        <v/>
      </c>
      <c r="I241" s="30" t="str">
        <f aca="false">IF(A241="","",IF(G241="Concluído","✅ Concluído",IF(F241="","⚪ Sem prazo",IF(H241&lt;0,"🔴 COBRAR · "&amp;-H241&amp;" dia(s) atrasado",IF(H241=0,"🟠 Vence HOJE",IF(H241&lt;=3,"🟠 Vence em "&amp;H241&amp;" dia(s)","🟢 No prazo"))))))</f>
        <v/>
      </c>
      <c r="J241" s="27"/>
      <c r="K241" s="26"/>
      <c r="L241" s="30" t="str">
        <f aca="true">IF(OR(A241="",G241="Concluído",F241=""),"",IF(F241&lt;=TODAY()+3,F241+ROW()/1000000,""))</f>
        <v/>
      </c>
    </row>
    <row r="242" customFormat="false" ht="15" hidden="false" customHeight="false" outlineLevel="0" collapsed="false">
      <c r="A242" s="26"/>
      <c r="B242" s="26"/>
      <c r="C242" s="27"/>
      <c r="D242" s="26"/>
      <c r="E242" s="26"/>
      <c r="F242" s="28" t="str">
        <f aca="false">IF(OR(C242="",D242=""),"",IFERROR(C242-INDEX(Listas!$B$5:$B$30,MATCH(D242,Listas!$A$5:$A$30,0)),""))</f>
        <v/>
      </c>
      <c r="G242" s="26"/>
      <c r="H242" s="29" t="str">
        <f aca="true">IF(OR(A242="",F242="",G242="Concluído"),"",F242-TODAY())</f>
        <v/>
      </c>
      <c r="I242" s="30" t="str">
        <f aca="false">IF(A242="","",IF(G242="Concluído","✅ Concluído",IF(F242="","⚪ Sem prazo",IF(H242&lt;0,"🔴 COBRAR · "&amp;-H242&amp;" dia(s) atrasado",IF(H242=0,"🟠 Vence HOJE",IF(H242&lt;=3,"🟠 Vence em "&amp;H242&amp;" dia(s)","🟢 No prazo"))))))</f>
        <v/>
      </c>
      <c r="J242" s="27"/>
      <c r="K242" s="26"/>
      <c r="L242" s="30" t="str">
        <f aca="true">IF(OR(A242="",G242="Concluído",F242=""),"",IF(F242&lt;=TODAY()+3,F242+ROW()/1000000,""))</f>
        <v/>
      </c>
    </row>
    <row r="243" customFormat="false" ht="15" hidden="false" customHeight="false" outlineLevel="0" collapsed="false">
      <c r="A243" s="26"/>
      <c r="B243" s="26"/>
      <c r="C243" s="27"/>
      <c r="D243" s="26"/>
      <c r="E243" s="26"/>
      <c r="F243" s="28" t="str">
        <f aca="false">IF(OR(C243="",D243=""),"",IFERROR(C243-INDEX(Listas!$B$5:$B$30,MATCH(D243,Listas!$A$5:$A$30,0)),""))</f>
        <v/>
      </c>
      <c r="G243" s="26"/>
      <c r="H243" s="29" t="str">
        <f aca="true">IF(OR(A243="",F243="",G243="Concluído"),"",F243-TODAY())</f>
        <v/>
      </c>
      <c r="I243" s="30" t="str">
        <f aca="false">IF(A243="","",IF(G243="Concluído","✅ Concluído",IF(F243="","⚪ Sem prazo",IF(H243&lt;0,"🔴 COBRAR · "&amp;-H243&amp;" dia(s) atrasado",IF(H243=0,"🟠 Vence HOJE",IF(H243&lt;=3,"🟠 Vence em "&amp;H243&amp;" dia(s)","🟢 No prazo"))))))</f>
        <v/>
      </c>
      <c r="J243" s="27"/>
      <c r="K243" s="26"/>
      <c r="L243" s="30" t="str">
        <f aca="true">IF(OR(A243="",G243="Concluído",F243=""),"",IF(F243&lt;=TODAY()+3,F243+ROW()/1000000,""))</f>
        <v/>
      </c>
    </row>
    <row r="244" customFormat="false" ht="15" hidden="false" customHeight="false" outlineLevel="0" collapsed="false">
      <c r="A244" s="26"/>
      <c r="B244" s="26"/>
      <c r="C244" s="27"/>
      <c r="D244" s="26"/>
      <c r="E244" s="26"/>
      <c r="F244" s="28" t="str">
        <f aca="false">IF(OR(C244="",D244=""),"",IFERROR(C244-INDEX(Listas!$B$5:$B$30,MATCH(D244,Listas!$A$5:$A$30,0)),""))</f>
        <v/>
      </c>
      <c r="G244" s="26"/>
      <c r="H244" s="29" t="str">
        <f aca="true">IF(OR(A244="",F244="",G244="Concluído"),"",F244-TODAY())</f>
        <v/>
      </c>
      <c r="I244" s="30" t="str">
        <f aca="false">IF(A244="","",IF(G244="Concluído","✅ Concluído",IF(F244="","⚪ Sem prazo",IF(H244&lt;0,"🔴 COBRAR · "&amp;-H244&amp;" dia(s) atrasado",IF(H244=0,"🟠 Vence HOJE",IF(H244&lt;=3,"🟠 Vence em "&amp;H244&amp;" dia(s)","🟢 No prazo"))))))</f>
        <v/>
      </c>
      <c r="J244" s="27"/>
      <c r="K244" s="26"/>
      <c r="L244" s="30" t="str">
        <f aca="true">IF(OR(A244="",G244="Concluído",F244=""),"",IF(F244&lt;=TODAY()+3,F244+ROW()/1000000,""))</f>
        <v/>
      </c>
    </row>
    <row r="245" customFormat="false" ht="15" hidden="false" customHeight="false" outlineLevel="0" collapsed="false">
      <c r="A245" s="26"/>
      <c r="B245" s="26"/>
      <c r="C245" s="27"/>
      <c r="D245" s="26"/>
      <c r="E245" s="26"/>
      <c r="F245" s="28" t="str">
        <f aca="false">IF(OR(C245="",D245=""),"",IFERROR(C245-INDEX(Listas!$B$5:$B$30,MATCH(D245,Listas!$A$5:$A$30,0)),""))</f>
        <v/>
      </c>
      <c r="G245" s="26"/>
      <c r="H245" s="29" t="str">
        <f aca="true">IF(OR(A245="",F245="",G245="Concluído"),"",F245-TODAY())</f>
        <v/>
      </c>
      <c r="I245" s="30" t="str">
        <f aca="false">IF(A245="","",IF(G245="Concluído","✅ Concluído",IF(F245="","⚪ Sem prazo",IF(H245&lt;0,"🔴 COBRAR · "&amp;-H245&amp;" dia(s) atrasado",IF(H245=0,"🟠 Vence HOJE",IF(H245&lt;=3,"🟠 Vence em "&amp;H245&amp;" dia(s)","🟢 No prazo"))))))</f>
        <v/>
      </c>
      <c r="J245" s="27"/>
      <c r="K245" s="26"/>
      <c r="L245" s="30" t="str">
        <f aca="true">IF(OR(A245="",G245="Concluído",F245=""),"",IF(F245&lt;=TODAY()+3,F245+ROW()/1000000,""))</f>
        <v/>
      </c>
    </row>
    <row r="246" customFormat="false" ht="15" hidden="false" customHeight="false" outlineLevel="0" collapsed="false">
      <c r="A246" s="26"/>
      <c r="B246" s="26"/>
      <c r="C246" s="27"/>
      <c r="D246" s="26"/>
      <c r="E246" s="26"/>
      <c r="F246" s="28" t="str">
        <f aca="false">IF(OR(C246="",D246=""),"",IFERROR(C246-INDEX(Listas!$B$5:$B$30,MATCH(D246,Listas!$A$5:$A$30,0)),""))</f>
        <v/>
      </c>
      <c r="G246" s="26"/>
      <c r="H246" s="29" t="str">
        <f aca="true">IF(OR(A246="",F246="",G246="Concluído"),"",F246-TODAY())</f>
        <v/>
      </c>
      <c r="I246" s="30" t="str">
        <f aca="false">IF(A246="","",IF(G246="Concluído","✅ Concluído",IF(F246="","⚪ Sem prazo",IF(H246&lt;0,"🔴 COBRAR · "&amp;-H246&amp;" dia(s) atrasado",IF(H246=0,"🟠 Vence HOJE",IF(H246&lt;=3,"🟠 Vence em "&amp;H246&amp;" dia(s)","🟢 No prazo"))))))</f>
        <v/>
      </c>
      <c r="J246" s="27"/>
      <c r="K246" s="26"/>
      <c r="L246" s="30" t="str">
        <f aca="true">IF(OR(A246="",G246="Concluído",F246=""),"",IF(F246&lt;=TODAY()+3,F246+ROW()/1000000,""))</f>
        <v/>
      </c>
    </row>
    <row r="247" customFormat="false" ht="15" hidden="false" customHeight="false" outlineLevel="0" collapsed="false">
      <c r="A247" s="26"/>
      <c r="B247" s="26"/>
      <c r="C247" s="27"/>
      <c r="D247" s="26"/>
      <c r="E247" s="26"/>
      <c r="F247" s="28" t="str">
        <f aca="false">IF(OR(C247="",D247=""),"",IFERROR(C247-INDEX(Listas!$B$5:$B$30,MATCH(D247,Listas!$A$5:$A$30,0)),""))</f>
        <v/>
      </c>
      <c r="G247" s="26"/>
      <c r="H247" s="29" t="str">
        <f aca="true">IF(OR(A247="",F247="",G247="Concluído"),"",F247-TODAY())</f>
        <v/>
      </c>
      <c r="I247" s="30" t="str">
        <f aca="false">IF(A247="","",IF(G247="Concluído","✅ Concluído",IF(F247="","⚪ Sem prazo",IF(H247&lt;0,"🔴 COBRAR · "&amp;-H247&amp;" dia(s) atrasado",IF(H247=0,"🟠 Vence HOJE",IF(H247&lt;=3,"🟠 Vence em "&amp;H247&amp;" dia(s)","🟢 No prazo"))))))</f>
        <v/>
      </c>
      <c r="J247" s="27"/>
      <c r="K247" s="26"/>
      <c r="L247" s="30" t="str">
        <f aca="true">IF(OR(A247="",G247="Concluído",F247=""),"",IF(F247&lt;=TODAY()+3,F247+ROW()/1000000,""))</f>
        <v/>
      </c>
    </row>
    <row r="248" customFormat="false" ht="15" hidden="false" customHeight="false" outlineLevel="0" collapsed="false">
      <c r="A248" s="26"/>
      <c r="B248" s="26"/>
      <c r="C248" s="27"/>
      <c r="D248" s="26"/>
      <c r="E248" s="26"/>
      <c r="F248" s="28" t="str">
        <f aca="false">IF(OR(C248="",D248=""),"",IFERROR(C248-INDEX(Listas!$B$5:$B$30,MATCH(D248,Listas!$A$5:$A$30,0)),""))</f>
        <v/>
      </c>
      <c r="G248" s="26"/>
      <c r="H248" s="29" t="str">
        <f aca="true">IF(OR(A248="",F248="",G248="Concluído"),"",F248-TODAY())</f>
        <v/>
      </c>
      <c r="I248" s="30" t="str">
        <f aca="false">IF(A248="","",IF(G248="Concluído","✅ Concluído",IF(F248="","⚪ Sem prazo",IF(H248&lt;0,"🔴 COBRAR · "&amp;-H248&amp;" dia(s) atrasado",IF(H248=0,"🟠 Vence HOJE",IF(H248&lt;=3,"🟠 Vence em "&amp;H248&amp;" dia(s)","🟢 No prazo"))))))</f>
        <v/>
      </c>
      <c r="J248" s="27"/>
      <c r="K248" s="26"/>
      <c r="L248" s="30" t="str">
        <f aca="true">IF(OR(A248="",G248="Concluído",F248=""),"",IF(F248&lt;=TODAY()+3,F248+ROW()/1000000,""))</f>
        <v/>
      </c>
    </row>
    <row r="249" customFormat="false" ht="15" hidden="false" customHeight="false" outlineLevel="0" collapsed="false">
      <c r="A249" s="26"/>
      <c r="B249" s="26"/>
      <c r="C249" s="27"/>
      <c r="D249" s="26"/>
      <c r="E249" s="26"/>
      <c r="F249" s="28" t="str">
        <f aca="false">IF(OR(C249="",D249=""),"",IFERROR(C249-INDEX(Listas!$B$5:$B$30,MATCH(D249,Listas!$A$5:$A$30,0)),""))</f>
        <v/>
      </c>
      <c r="G249" s="26"/>
      <c r="H249" s="29" t="str">
        <f aca="true">IF(OR(A249="",F249="",G249="Concluído"),"",F249-TODAY())</f>
        <v/>
      </c>
      <c r="I249" s="30" t="str">
        <f aca="false">IF(A249="","",IF(G249="Concluído","✅ Concluído",IF(F249="","⚪ Sem prazo",IF(H249&lt;0,"🔴 COBRAR · "&amp;-H249&amp;" dia(s) atrasado",IF(H249=0,"🟠 Vence HOJE",IF(H249&lt;=3,"🟠 Vence em "&amp;H249&amp;" dia(s)","🟢 No prazo"))))))</f>
        <v/>
      </c>
      <c r="J249" s="27"/>
      <c r="K249" s="26"/>
      <c r="L249" s="30" t="str">
        <f aca="true">IF(OR(A249="",G249="Concluído",F249=""),"",IF(F249&lt;=TODAY()+3,F249+ROW()/1000000,""))</f>
        <v/>
      </c>
    </row>
    <row r="250" customFormat="false" ht="15" hidden="false" customHeight="false" outlineLevel="0" collapsed="false">
      <c r="A250" s="26"/>
      <c r="B250" s="26"/>
      <c r="C250" s="27"/>
      <c r="D250" s="26"/>
      <c r="E250" s="26"/>
      <c r="F250" s="28" t="str">
        <f aca="false">IF(OR(C250="",D250=""),"",IFERROR(C250-INDEX(Listas!$B$5:$B$30,MATCH(D250,Listas!$A$5:$A$30,0)),""))</f>
        <v/>
      </c>
      <c r="G250" s="26"/>
      <c r="H250" s="29" t="str">
        <f aca="true">IF(OR(A250="",F250="",G250="Concluído"),"",F250-TODAY())</f>
        <v/>
      </c>
      <c r="I250" s="30" t="str">
        <f aca="false">IF(A250="","",IF(G250="Concluído","✅ Concluído",IF(F250="","⚪ Sem prazo",IF(H250&lt;0,"🔴 COBRAR · "&amp;-H250&amp;" dia(s) atrasado",IF(H250=0,"🟠 Vence HOJE",IF(H250&lt;=3,"🟠 Vence em "&amp;H250&amp;" dia(s)","🟢 No prazo"))))))</f>
        <v/>
      </c>
      <c r="J250" s="27"/>
      <c r="K250" s="26"/>
      <c r="L250" s="30" t="str">
        <f aca="true">IF(OR(A250="",G250="Concluído",F250=""),"",IF(F250&lt;=TODAY()+3,F250+ROW()/1000000,""))</f>
        <v/>
      </c>
    </row>
    <row r="251" customFormat="false" ht="15" hidden="false" customHeight="false" outlineLevel="0" collapsed="false">
      <c r="A251" s="26"/>
      <c r="B251" s="26"/>
      <c r="C251" s="27"/>
      <c r="D251" s="26"/>
      <c r="E251" s="26"/>
      <c r="F251" s="28" t="str">
        <f aca="false">IF(OR(C251="",D251=""),"",IFERROR(C251-INDEX(Listas!$B$5:$B$30,MATCH(D251,Listas!$A$5:$A$30,0)),""))</f>
        <v/>
      </c>
      <c r="G251" s="26"/>
      <c r="H251" s="29" t="str">
        <f aca="true">IF(OR(A251="",F251="",G251="Concluído"),"",F251-TODAY())</f>
        <v/>
      </c>
      <c r="I251" s="30" t="str">
        <f aca="false">IF(A251="","",IF(G251="Concluído","✅ Concluído",IF(F251="","⚪ Sem prazo",IF(H251&lt;0,"🔴 COBRAR · "&amp;-H251&amp;" dia(s) atrasado",IF(H251=0,"🟠 Vence HOJE",IF(H251&lt;=3,"🟠 Vence em "&amp;H251&amp;" dia(s)","🟢 No prazo"))))))</f>
        <v/>
      </c>
      <c r="J251" s="27"/>
      <c r="K251" s="26"/>
      <c r="L251" s="30" t="str">
        <f aca="true">IF(OR(A251="",G251="Concluído",F251=""),"",IF(F251&lt;=TODAY()+3,F251+ROW()/1000000,""))</f>
        <v/>
      </c>
    </row>
    <row r="252" customFormat="false" ht="15" hidden="false" customHeight="false" outlineLevel="0" collapsed="false">
      <c r="A252" s="26"/>
      <c r="B252" s="26"/>
      <c r="C252" s="27"/>
      <c r="D252" s="26"/>
      <c r="E252" s="26"/>
      <c r="F252" s="28" t="str">
        <f aca="false">IF(OR(C252="",D252=""),"",IFERROR(C252-INDEX(Listas!$B$5:$B$30,MATCH(D252,Listas!$A$5:$A$30,0)),""))</f>
        <v/>
      </c>
      <c r="G252" s="26"/>
      <c r="H252" s="29" t="str">
        <f aca="true">IF(OR(A252="",F252="",G252="Concluído"),"",F252-TODAY())</f>
        <v/>
      </c>
      <c r="I252" s="30" t="str">
        <f aca="false">IF(A252="","",IF(G252="Concluído","✅ Concluído",IF(F252="","⚪ Sem prazo",IF(H252&lt;0,"🔴 COBRAR · "&amp;-H252&amp;" dia(s) atrasado",IF(H252=0,"🟠 Vence HOJE",IF(H252&lt;=3,"🟠 Vence em "&amp;H252&amp;" dia(s)","🟢 No prazo"))))))</f>
        <v/>
      </c>
      <c r="J252" s="27"/>
      <c r="K252" s="26"/>
      <c r="L252" s="30" t="str">
        <f aca="true">IF(OR(A252="",G252="Concluído",F252=""),"",IF(F252&lt;=TODAY()+3,F252+ROW()/1000000,""))</f>
        <v/>
      </c>
    </row>
    <row r="253" customFormat="false" ht="15" hidden="false" customHeight="false" outlineLevel="0" collapsed="false">
      <c r="A253" s="26"/>
      <c r="B253" s="26"/>
      <c r="C253" s="27"/>
      <c r="D253" s="26"/>
      <c r="E253" s="26"/>
      <c r="F253" s="28" t="str">
        <f aca="false">IF(OR(C253="",D253=""),"",IFERROR(C253-INDEX(Listas!$B$5:$B$30,MATCH(D253,Listas!$A$5:$A$30,0)),""))</f>
        <v/>
      </c>
      <c r="G253" s="26"/>
      <c r="H253" s="29" t="str">
        <f aca="true">IF(OR(A253="",F253="",G253="Concluído"),"",F253-TODAY())</f>
        <v/>
      </c>
      <c r="I253" s="30" t="str">
        <f aca="false">IF(A253="","",IF(G253="Concluído","✅ Concluído",IF(F253="","⚪ Sem prazo",IF(H253&lt;0,"🔴 COBRAR · "&amp;-H253&amp;" dia(s) atrasado",IF(H253=0,"🟠 Vence HOJE",IF(H253&lt;=3,"🟠 Vence em "&amp;H253&amp;" dia(s)","🟢 No prazo"))))))</f>
        <v/>
      </c>
      <c r="J253" s="27"/>
      <c r="K253" s="26"/>
      <c r="L253" s="30" t="str">
        <f aca="true">IF(OR(A253="",G253="Concluído",F253=""),"",IF(F253&lt;=TODAY()+3,F253+ROW()/1000000,""))</f>
        <v/>
      </c>
    </row>
    <row r="254" customFormat="false" ht="15" hidden="false" customHeight="false" outlineLevel="0" collapsed="false">
      <c r="A254" s="26"/>
      <c r="B254" s="26"/>
      <c r="C254" s="27"/>
      <c r="D254" s="26"/>
      <c r="E254" s="26"/>
      <c r="F254" s="28" t="str">
        <f aca="false">IF(OR(C254="",D254=""),"",IFERROR(C254-INDEX(Listas!$B$5:$B$30,MATCH(D254,Listas!$A$5:$A$30,0)),""))</f>
        <v/>
      </c>
      <c r="G254" s="26"/>
      <c r="H254" s="29" t="str">
        <f aca="true">IF(OR(A254="",F254="",G254="Concluído"),"",F254-TODAY())</f>
        <v/>
      </c>
      <c r="I254" s="30" t="str">
        <f aca="false">IF(A254="","",IF(G254="Concluído","✅ Concluído",IF(F254="","⚪ Sem prazo",IF(H254&lt;0,"🔴 COBRAR · "&amp;-H254&amp;" dia(s) atrasado",IF(H254=0,"🟠 Vence HOJE",IF(H254&lt;=3,"🟠 Vence em "&amp;H254&amp;" dia(s)","🟢 No prazo"))))))</f>
        <v/>
      </c>
      <c r="J254" s="27"/>
      <c r="K254" s="26"/>
      <c r="L254" s="30" t="str">
        <f aca="true">IF(OR(A254="",G254="Concluído",F254=""),"",IF(F254&lt;=TODAY()+3,F254+ROW()/1000000,""))</f>
        <v/>
      </c>
    </row>
    <row r="255" customFormat="false" ht="15" hidden="false" customHeight="false" outlineLevel="0" collapsed="false">
      <c r="A255" s="26"/>
      <c r="B255" s="26"/>
      <c r="C255" s="27"/>
      <c r="D255" s="26"/>
      <c r="E255" s="26"/>
      <c r="F255" s="28" t="str">
        <f aca="false">IF(OR(C255="",D255=""),"",IFERROR(C255-INDEX(Listas!$B$5:$B$30,MATCH(D255,Listas!$A$5:$A$30,0)),""))</f>
        <v/>
      </c>
      <c r="G255" s="26"/>
      <c r="H255" s="29" t="str">
        <f aca="true">IF(OR(A255="",F255="",G255="Concluído"),"",F255-TODAY())</f>
        <v/>
      </c>
      <c r="I255" s="30" t="str">
        <f aca="false">IF(A255="","",IF(G255="Concluído","✅ Concluído",IF(F255="","⚪ Sem prazo",IF(H255&lt;0,"🔴 COBRAR · "&amp;-H255&amp;" dia(s) atrasado",IF(H255=0,"🟠 Vence HOJE",IF(H255&lt;=3,"🟠 Vence em "&amp;H255&amp;" dia(s)","🟢 No prazo"))))))</f>
        <v/>
      </c>
      <c r="J255" s="27"/>
      <c r="K255" s="26"/>
      <c r="L255" s="30" t="str">
        <f aca="true">IF(OR(A255="",G255="Concluído",F255=""),"",IF(F255&lt;=TODAY()+3,F255+ROW()/1000000,""))</f>
        <v/>
      </c>
    </row>
    <row r="256" customFormat="false" ht="15" hidden="false" customHeight="false" outlineLevel="0" collapsed="false">
      <c r="A256" s="26"/>
      <c r="B256" s="26"/>
      <c r="C256" s="27"/>
      <c r="D256" s="26"/>
      <c r="E256" s="26"/>
      <c r="F256" s="28" t="str">
        <f aca="false">IF(OR(C256="",D256=""),"",IFERROR(C256-INDEX(Listas!$B$5:$B$30,MATCH(D256,Listas!$A$5:$A$30,0)),""))</f>
        <v/>
      </c>
      <c r="G256" s="26"/>
      <c r="H256" s="29" t="str">
        <f aca="true">IF(OR(A256="",F256="",G256="Concluído"),"",F256-TODAY())</f>
        <v/>
      </c>
      <c r="I256" s="30" t="str">
        <f aca="false">IF(A256="","",IF(G256="Concluído","✅ Concluído",IF(F256="","⚪ Sem prazo",IF(H256&lt;0,"🔴 COBRAR · "&amp;-H256&amp;" dia(s) atrasado",IF(H256=0,"🟠 Vence HOJE",IF(H256&lt;=3,"🟠 Vence em "&amp;H256&amp;" dia(s)","🟢 No prazo"))))))</f>
        <v/>
      </c>
      <c r="J256" s="27"/>
      <c r="K256" s="26"/>
      <c r="L256" s="30" t="str">
        <f aca="true">IF(OR(A256="",G256="Concluído",F256=""),"",IF(F256&lt;=TODAY()+3,F256+ROW()/1000000,""))</f>
        <v/>
      </c>
    </row>
    <row r="257" customFormat="false" ht="15" hidden="false" customHeight="false" outlineLevel="0" collapsed="false">
      <c r="A257" s="26"/>
      <c r="B257" s="26"/>
      <c r="C257" s="27"/>
      <c r="D257" s="26"/>
      <c r="E257" s="26"/>
      <c r="F257" s="28" t="str">
        <f aca="false">IF(OR(C257="",D257=""),"",IFERROR(C257-INDEX(Listas!$B$5:$B$30,MATCH(D257,Listas!$A$5:$A$30,0)),""))</f>
        <v/>
      </c>
      <c r="G257" s="26"/>
      <c r="H257" s="29" t="str">
        <f aca="true">IF(OR(A257="",F257="",G257="Concluído"),"",F257-TODAY())</f>
        <v/>
      </c>
      <c r="I257" s="30" t="str">
        <f aca="false">IF(A257="","",IF(G257="Concluído","✅ Concluído",IF(F257="","⚪ Sem prazo",IF(H257&lt;0,"🔴 COBRAR · "&amp;-H257&amp;" dia(s) atrasado",IF(H257=0,"🟠 Vence HOJE",IF(H257&lt;=3,"🟠 Vence em "&amp;H257&amp;" dia(s)","🟢 No prazo"))))))</f>
        <v/>
      </c>
      <c r="J257" s="27"/>
      <c r="K257" s="26"/>
      <c r="L257" s="30" t="str">
        <f aca="true">IF(OR(A257="",G257="Concluído",F257=""),"",IF(F257&lt;=TODAY()+3,F257+ROW()/1000000,""))</f>
        <v/>
      </c>
    </row>
    <row r="258" customFormat="false" ht="15" hidden="false" customHeight="false" outlineLevel="0" collapsed="false">
      <c r="A258" s="26"/>
      <c r="B258" s="26"/>
      <c r="C258" s="27"/>
      <c r="D258" s="26"/>
      <c r="E258" s="26"/>
      <c r="F258" s="28" t="str">
        <f aca="false">IF(OR(C258="",D258=""),"",IFERROR(C258-INDEX(Listas!$B$5:$B$30,MATCH(D258,Listas!$A$5:$A$30,0)),""))</f>
        <v/>
      </c>
      <c r="G258" s="26"/>
      <c r="H258" s="29" t="str">
        <f aca="true">IF(OR(A258="",F258="",G258="Concluído"),"",F258-TODAY())</f>
        <v/>
      </c>
      <c r="I258" s="30" t="str">
        <f aca="false">IF(A258="","",IF(G258="Concluído","✅ Concluído",IF(F258="","⚪ Sem prazo",IF(H258&lt;0,"🔴 COBRAR · "&amp;-H258&amp;" dia(s) atrasado",IF(H258=0,"🟠 Vence HOJE",IF(H258&lt;=3,"🟠 Vence em "&amp;H258&amp;" dia(s)","🟢 No prazo"))))))</f>
        <v/>
      </c>
      <c r="J258" s="27"/>
      <c r="K258" s="26"/>
      <c r="L258" s="30" t="str">
        <f aca="true">IF(OR(A258="",G258="Concluído",F258=""),"",IF(F258&lt;=TODAY()+3,F258+ROW()/1000000,""))</f>
        <v/>
      </c>
    </row>
    <row r="259" customFormat="false" ht="15" hidden="false" customHeight="false" outlineLevel="0" collapsed="false">
      <c r="A259" s="26"/>
      <c r="B259" s="26"/>
      <c r="C259" s="27"/>
      <c r="D259" s="26"/>
      <c r="E259" s="26"/>
      <c r="F259" s="28" t="str">
        <f aca="false">IF(OR(C259="",D259=""),"",IFERROR(C259-INDEX(Listas!$B$5:$B$30,MATCH(D259,Listas!$A$5:$A$30,0)),""))</f>
        <v/>
      </c>
      <c r="G259" s="26"/>
      <c r="H259" s="29" t="str">
        <f aca="true">IF(OR(A259="",F259="",G259="Concluído"),"",F259-TODAY())</f>
        <v/>
      </c>
      <c r="I259" s="30" t="str">
        <f aca="false">IF(A259="","",IF(G259="Concluído","✅ Concluído",IF(F259="","⚪ Sem prazo",IF(H259&lt;0,"🔴 COBRAR · "&amp;-H259&amp;" dia(s) atrasado",IF(H259=0,"🟠 Vence HOJE",IF(H259&lt;=3,"🟠 Vence em "&amp;H259&amp;" dia(s)","🟢 No prazo"))))))</f>
        <v/>
      </c>
      <c r="J259" s="27"/>
      <c r="K259" s="26"/>
      <c r="L259" s="30" t="str">
        <f aca="true">IF(OR(A259="",G259="Concluído",F259=""),"",IF(F259&lt;=TODAY()+3,F259+ROW()/1000000,""))</f>
        <v/>
      </c>
    </row>
    <row r="260" customFormat="false" ht="15" hidden="false" customHeight="false" outlineLevel="0" collapsed="false">
      <c r="A260" s="26"/>
      <c r="B260" s="26"/>
      <c r="C260" s="27"/>
      <c r="D260" s="26"/>
      <c r="E260" s="26"/>
      <c r="F260" s="28" t="str">
        <f aca="false">IF(OR(C260="",D260=""),"",IFERROR(C260-INDEX(Listas!$B$5:$B$30,MATCH(D260,Listas!$A$5:$A$30,0)),""))</f>
        <v/>
      </c>
      <c r="G260" s="26"/>
      <c r="H260" s="29" t="str">
        <f aca="true">IF(OR(A260="",F260="",G260="Concluído"),"",F260-TODAY())</f>
        <v/>
      </c>
      <c r="I260" s="30" t="str">
        <f aca="false">IF(A260="","",IF(G260="Concluído","✅ Concluído",IF(F260="","⚪ Sem prazo",IF(H260&lt;0,"🔴 COBRAR · "&amp;-H260&amp;" dia(s) atrasado",IF(H260=0,"🟠 Vence HOJE",IF(H260&lt;=3,"🟠 Vence em "&amp;H260&amp;" dia(s)","🟢 No prazo"))))))</f>
        <v/>
      </c>
      <c r="J260" s="27"/>
      <c r="K260" s="26"/>
      <c r="L260" s="30" t="str">
        <f aca="true">IF(OR(A260="",G260="Concluído",F260=""),"",IF(F260&lt;=TODAY()+3,F260+ROW()/1000000,""))</f>
        <v/>
      </c>
    </row>
    <row r="261" customFormat="false" ht="15" hidden="false" customHeight="false" outlineLevel="0" collapsed="false">
      <c r="A261" s="26"/>
      <c r="B261" s="26"/>
      <c r="C261" s="27"/>
      <c r="D261" s="26"/>
      <c r="E261" s="26"/>
      <c r="F261" s="28" t="str">
        <f aca="false">IF(OR(C261="",D261=""),"",IFERROR(C261-INDEX(Listas!$B$5:$B$30,MATCH(D261,Listas!$A$5:$A$30,0)),""))</f>
        <v/>
      </c>
      <c r="G261" s="26"/>
      <c r="H261" s="29" t="str">
        <f aca="true">IF(OR(A261="",F261="",G261="Concluído"),"",F261-TODAY())</f>
        <v/>
      </c>
      <c r="I261" s="30" t="str">
        <f aca="false">IF(A261="","",IF(G261="Concluído","✅ Concluído",IF(F261="","⚪ Sem prazo",IF(H261&lt;0,"🔴 COBRAR · "&amp;-H261&amp;" dia(s) atrasado",IF(H261=0,"🟠 Vence HOJE",IF(H261&lt;=3,"🟠 Vence em "&amp;H261&amp;" dia(s)","🟢 No prazo"))))))</f>
        <v/>
      </c>
      <c r="J261" s="27"/>
      <c r="K261" s="26"/>
      <c r="L261" s="30" t="str">
        <f aca="true">IF(OR(A261="",G261="Concluído",F261=""),"",IF(F261&lt;=TODAY()+3,F261+ROW()/1000000,""))</f>
        <v/>
      </c>
    </row>
    <row r="262" customFormat="false" ht="15" hidden="false" customHeight="false" outlineLevel="0" collapsed="false">
      <c r="A262" s="26"/>
      <c r="B262" s="26"/>
      <c r="C262" s="27"/>
      <c r="D262" s="26"/>
      <c r="E262" s="26"/>
      <c r="F262" s="28" t="str">
        <f aca="false">IF(OR(C262="",D262=""),"",IFERROR(C262-INDEX(Listas!$B$5:$B$30,MATCH(D262,Listas!$A$5:$A$30,0)),""))</f>
        <v/>
      </c>
      <c r="G262" s="26"/>
      <c r="H262" s="29" t="str">
        <f aca="true">IF(OR(A262="",F262="",G262="Concluído"),"",F262-TODAY())</f>
        <v/>
      </c>
      <c r="I262" s="30" t="str">
        <f aca="false">IF(A262="","",IF(G262="Concluído","✅ Concluído",IF(F262="","⚪ Sem prazo",IF(H262&lt;0,"🔴 COBRAR · "&amp;-H262&amp;" dia(s) atrasado",IF(H262=0,"🟠 Vence HOJE",IF(H262&lt;=3,"🟠 Vence em "&amp;H262&amp;" dia(s)","🟢 No prazo"))))))</f>
        <v/>
      </c>
      <c r="J262" s="27"/>
      <c r="K262" s="26"/>
      <c r="L262" s="30" t="str">
        <f aca="true">IF(OR(A262="",G262="Concluído",F262=""),"",IF(F262&lt;=TODAY()+3,F262+ROW()/1000000,""))</f>
        <v/>
      </c>
    </row>
    <row r="263" customFormat="false" ht="15" hidden="false" customHeight="false" outlineLevel="0" collapsed="false">
      <c r="A263" s="26"/>
      <c r="B263" s="26"/>
      <c r="C263" s="27"/>
      <c r="D263" s="26"/>
      <c r="E263" s="26"/>
      <c r="F263" s="28" t="str">
        <f aca="false">IF(OR(C263="",D263=""),"",IFERROR(C263-INDEX(Listas!$B$5:$B$30,MATCH(D263,Listas!$A$5:$A$30,0)),""))</f>
        <v/>
      </c>
      <c r="G263" s="26"/>
      <c r="H263" s="29" t="str">
        <f aca="true">IF(OR(A263="",F263="",G263="Concluído"),"",F263-TODAY())</f>
        <v/>
      </c>
      <c r="I263" s="30" t="str">
        <f aca="false">IF(A263="","",IF(G263="Concluído","✅ Concluído",IF(F263="","⚪ Sem prazo",IF(H263&lt;0,"🔴 COBRAR · "&amp;-H263&amp;" dia(s) atrasado",IF(H263=0,"🟠 Vence HOJE",IF(H263&lt;=3,"🟠 Vence em "&amp;H263&amp;" dia(s)","🟢 No prazo"))))))</f>
        <v/>
      </c>
      <c r="J263" s="27"/>
      <c r="K263" s="26"/>
      <c r="L263" s="30" t="str">
        <f aca="true">IF(OR(A263="",G263="Concluído",F263=""),"",IF(F263&lt;=TODAY()+3,F263+ROW()/1000000,""))</f>
        <v/>
      </c>
    </row>
    <row r="264" customFormat="false" ht="15" hidden="false" customHeight="false" outlineLevel="0" collapsed="false">
      <c r="A264" s="26"/>
      <c r="B264" s="26"/>
      <c r="C264" s="27"/>
      <c r="D264" s="26"/>
      <c r="E264" s="26"/>
      <c r="F264" s="28" t="str">
        <f aca="false">IF(OR(C264="",D264=""),"",IFERROR(C264-INDEX(Listas!$B$5:$B$30,MATCH(D264,Listas!$A$5:$A$30,0)),""))</f>
        <v/>
      </c>
      <c r="G264" s="26"/>
      <c r="H264" s="29" t="str">
        <f aca="true">IF(OR(A264="",F264="",G264="Concluído"),"",F264-TODAY())</f>
        <v/>
      </c>
      <c r="I264" s="30" t="str">
        <f aca="false">IF(A264="","",IF(G264="Concluído","✅ Concluído",IF(F264="","⚪ Sem prazo",IF(H264&lt;0,"🔴 COBRAR · "&amp;-H264&amp;" dia(s) atrasado",IF(H264=0,"🟠 Vence HOJE",IF(H264&lt;=3,"🟠 Vence em "&amp;H264&amp;" dia(s)","🟢 No prazo"))))))</f>
        <v/>
      </c>
      <c r="J264" s="27"/>
      <c r="K264" s="26"/>
      <c r="L264" s="30" t="str">
        <f aca="true">IF(OR(A264="",G264="Concluído",F264=""),"",IF(F264&lt;=TODAY()+3,F264+ROW()/1000000,""))</f>
        <v/>
      </c>
    </row>
    <row r="265" customFormat="false" ht="15" hidden="false" customHeight="false" outlineLevel="0" collapsed="false">
      <c r="A265" s="26"/>
      <c r="B265" s="26"/>
      <c r="C265" s="27"/>
      <c r="D265" s="26"/>
      <c r="E265" s="26"/>
      <c r="F265" s="28" t="str">
        <f aca="false">IF(OR(C265="",D265=""),"",IFERROR(C265-INDEX(Listas!$B$5:$B$30,MATCH(D265,Listas!$A$5:$A$30,0)),""))</f>
        <v/>
      </c>
      <c r="G265" s="26"/>
      <c r="H265" s="29" t="str">
        <f aca="true">IF(OR(A265="",F265="",G265="Concluído"),"",F265-TODAY())</f>
        <v/>
      </c>
      <c r="I265" s="30" t="str">
        <f aca="false">IF(A265="","",IF(G265="Concluído","✅ Concluído",IF(F265="","⚪ Sem prazo",IF(H265&lt;0,"🔴 COBRAR · "&amp;-H265&amp;" dia(s) atrasado",IF(H265=0,"🟠 Vence HOJE",IF(H265&lt;=3,"🟠 Vence em "&amp;H265&amp;" dia(s)","🟢 No prazo"))))))</f>
        <v/>
      </c>
      <c r="J265" s="27"/>
      <c r="K265" s="26"/>
      <c r="L265" s="30" t="str">
        <f aca="true">IF(OR(A265="",G265="Concluído",F265=""),"",IF(F265&lt;=TODAY()+3,F265+ROW()/1000000,""))</f>
        <v/>
      </c>
    </row>
    <row r="266" customFormat="false" ht="15" hidden="false" customHeight="false" outlineLevel="0" collapsed="false">
      <c r="A266" s="26"/>
      <c r="B266" s="26"/>
      <c r="C266" s="27"/>
      <c r="D266" s="26"/>
      <c r="E266" s="26"/>
      <c r="F266" s="28" t="str">
        <f aca="false">IF(OR(C266="",D266=""),"",IFERROR(C266-INDEX(Listas!$B$5:$B$30,MATCH(D266,Listas!$A$5:$A$30,0)),""))</f>
        <v/>
      </c>
      <c r="G266" s="26"/>
      <c r="H266" s="29" t="str">
        <f aca="true">IF(OR(A266="",F266="",G266="Concluído"),"",F266-TODAY())</f>
        <v/>
      </c>
      <c r="I266" s="30" t="str">
        <f aca="false">IF(A266="","",IF(G266="Concluído","✅ Concluído",IF(F266="","⚪ Sem prazo",IF(H266&lt;0,"🔴 COBRAR · "&amp;-H266&amp;" dia(s) atrasado",IF(H266=0,"🟠 Vence HOJE",IF(H266&lt;=3,"🟠 Vence em "&amp;H266&amp;" dia(s)","🟢 No prazo"))))))</f>
        <v/>
      </c>
      <c r="J266" s="27"/>
      <c r="K266" s="26"/>
      <c r="L266" s="30" t="str">
        <f aca="true">IF(OR(A266="",G266="Concluído",F266=""),"",IF(F266&lt;=TODAY()+3,F266+ROW()/1000000,""))</f>
        <v/>
      </c>
    </row>
    <row r="267" customFormat="false" ht="15" hidden="false" customHeight="false" outlineLevel="0" collapsed="false">
      <c r="A267" s="26"/>
      <c r="B267" s="26"/>
      <c r="C267" s="27"/>
      <c r="D267" s="26"/>
      <c r="E267" s="26"/>
      <c r="F267" s="28" t="str">
        <f aca="false">IF(OR(C267="",D267=""),"",IFERROR(C267-INDEX(Listas!$B$5:$B$30,MATCH(D267,Listas!$A$5:$A$30,0)),""))</f>
        <v/>
      </c>
      <c r="G267" s="26"/>
      <c r="H267" s="29" t="str">
        <f aca="true">IF(OR(A267="",F267="",G267="Concluído"),"",F267-TODAY())</f>
        <v/>
      </c>
      <c r="I267" s="30" t="str">
        <f aca="false">IF(A267="","",IF(G267="Concluído","✅ Concluído",IF(F267="","⚪ Sem prazo",IF(H267&lt;0,"🔴 COBRAR · "&amp;-H267&amp;" dia(s) atrasado",IF(H267=0,"🟠 Vence HOJE",IF(H267&lt;=3,"🟠 Vence em "&amp;H267&amp;" dia(s)","🟢 No prazo"))))))</f>
        <v/>
      </c>
      <c r="J267" s="27"/>
      <c r="K267" s="26"/>
      <c r="L267" s="30" t="str">
        <f aca="true">IF(OR(A267="",G267="Concluído",F267=""),"",IF(F267&lt;=TODAY()+3,F267+ROW()/1000000,""))</f>
        <v/>
      </c>
    </row>
    <row r="268" customFormat="false" ht="15" hidden="false" customHeight="false" outlineLevel="0" collapsed="false">
      <c r="A268" s="26"/>
      <c r="B268" s="26"/>
      <c r="C268" s="27"/>
      <c r="D268" s="26"/>
      <c r="E268" s="26"/>
      <c r="F268" s="28" t="str">
        <f aca="false">IF(OR(C268="",D268=""),"",IFERROR(C268-INDEX(Listas!$B$5:$B$30,MATCH(D268,Listas!$A$5:$A$30,0)),""))</f>
        <v/>
      </c>
      <c r="G268" s="26"/>
      <c r="H268" s="29" t="str">
        <f aca="true">IF(OR(A268="",F268="",G268="Concluído"),"",F268-TODAY())</f>
        <v/>
      </c>
      <c r="I268" s="30" t="str">
        <f aca="false">IF(A268="","",IF(G268="Concluído","✅ Concluído",IF(F268="","⚪ Sem prazo",IF(H268&lt;0,"🔴 COBRAR · "&amp;-H268&amp;" dia(s) atrasado",IF(H268=0,"🟠 Vence HOJE",IF(H268&lt;=3,"🟠 Vence em "&amp;H268&amp;" dia(s)","🟢 No prazo"))))))</f>
        <v/>
      </c>
      <c r="J268" s="27"/>
      <c r="K268" s="26"/>
      <c r="L268" s="30" t="str">
        <f aca="true">IF(OR(A268="",G268="Concluído",F268=""),"",IF(F268&lt;=TODAY()+3,F268+ROW()/1000000,""))</f>
        <v/>
      </c>
    </row>
    <row r="269" customFormat="false" ht="15" hidden="false" customHeight="false" outlineLevel="0" collapsed="false">
      <c r="A269" s="26"/>
      <c r="B269" s="26"/>
      <c r="C269" s="27"/>
      <c r="D269" s="26"/>
      <c r="E269" s="26"/>
      <c r="F269" s="28" t="str">
        <f aca="false">IF(OR(C269="",D269=""),"",IFERROR(C269-INDEX(Listas!$B$5:$B$30,MATCH(D269,Listas!$A$5:$A$30,0)),""))</f>
        <v/>
      </c>
      <c r="G269" s="26"/>
      <c r="H269" s="29" t="str">
        <f aca="true">IF(OR(A269="",F269="",G269="Concluído"),"",F269-TODAY())</f>
        <v/>
      </c>
      <c r="I269" s="30" t="str">
        <f aca="false">IF(A269="","",IF(G269="Concluído","✅ Concluído",IF(F269="","⚪ Sem prazo",IF(H269&lt;0,"🔴 COBRAR · "&amp;-H269&amp;" dia(s) atrasado",IF(H269=0,"🟠 Vence HOJE",IF(H269&lt;=3,"🟠 Vence em "&amp;H269&amp;" dia(s)","🟢 No prazo"))))))</f>
        <v/>
      </c>
      <c r="J269" s="27"/>
      <c r="K269" s="26"/>
      <c r="L269" s="30" t="str">
        <f aca="true">IF(OR(A269="",G269="Concluído",F269=""),"",IF(F269&lt;=TODAY()+3,F269+ROW()/1000000,""))</f>
        <v/>
      </c>
    </row>
    <row r="270" customFormat="false" ht="15" hidden="false" customHeight="false" outlineLevel="0" collapsed="false">
      <c r="A270" s="26"/>
      <c r="B270" s="26"/>
      <c r="C270" s="27"/>
      <c r="D270" s="26"/>
      <c r="E270" s="26"/>
      <c r="F270" s="28" t="str">
        <f aca="false">IF(OR(C270="",D270=""),"",IFERROR(C270-INDEX(Listas!$B$5:$B$30,MATCH(D270,Listas!$A$5:$A$30,0)),""))</f>
        <v/>
      </c>
      <c r="G270" s="26"/>
      <c r="H270" s="29" t="str">
        <f aca="true">IF(OR(A270="",F270="",G270="Concluído"),"",F270-TODAY())</f>
        <v/>
      </c>
      <c r="I270" s="30" t="str">
        <f aca="false">IF(A270="","",IF(G270="Concluído","✅ Concluído",IF(F270="","⚪ Sem prazo",IF(H270&lt;0,"🔴 COBRAR · "&amp;-H270&amp;" dia(s) atrasado",IF(H270=0,"🟠 Vence HOJE",IF(H270&lt;=3,"🟠 Vence em "&amp;H270&amp;" dia(s)","🟢 No prazo"))))))</f>
        <v/>
      </c>
      <c r="J270" s="27"/>
      <c r="K270" s="26"/>
      <c r="L270" s="30" t="str">
        <f aca="true">IF(OR(A270="",G270="Concluído",F270=""),"",IF(F270&lt;=TODAY()+3,F270+ROW()/1000000,""))</f>
        <v/>
      </c>
    </row>
    <row r="271" customFormat="false" ht="15" hidden="false" customHeight="false" outlineLevel="0" collapsed="false">
      <c r="A271" s="26"/>
      <c r="B271" s="26"/>
      <c r="C271" s="27"/>
      <c r="D271" s="26"/>
      <c r="E271" s="26"/>
      <c r="F271" s="28" t="str">
        <f aca="false">IF(OR(C271="",D271=""),"",IFERROR(C271-INDEX(Listas!$B$5:$B$30,MATCH(D271,Listas!$A$5:$A$30,0)),""))</f>
        <v/>
      </c>
      <c r="G271" s="26"/>
      <c r="H271" s="29" t="str">
        <f aca="true">IF(OR(A271="",F271="",G271="Concluído"),"",F271-TODAY())</f>
        <v/>
      </c>
      <c r="I271" s="30" t="str">
        <f aca="false">IF(A271="","",IF(G271="Concluído","✅ Concluído",IF(F271="","⚪ Sem prazo",IF(H271&lt;0,"🔴 COBRAR · "&amp;-H271&amp;" dia(s) atrasado",IF(H271=0,"🟠 Vence HOJE",IF(H271&lt;=3,"🟠 Vence em "&amp;H271&amp;" dia(s)","🟢 No prazo"))))))</f>
        <v/>
      </c>
      <c r="J271" s="27"/>
      <c r="K271" s="26"/>
      <c r="L271" s="30" t="str">
        <f aca="true">IF(OR(A271="",G271="Concluído",F271=""),"",IF(F271&lt;=TODAY()+3,F271+ROW()/1000000,""))</f>
        <v/>
      </c>
    </row>
    <row r="272" customFormat="false" ht="15" hidden="false" customHeight="false" outlineLevel="0" collapsed="false">
      <c r="A272" s="26"/>
      <c r="B272" s="26"/>
      <c r="C272" s="27"/>
      <c r="D272" s="26"/>
      <c r="E272" s="26"/>
      <c r="F272" s="28" t="str">
        <f aca="false">IF(OR(C272="",D272=""),"",IFERROR(C272-INDEX(Listas!$B$5:$B$30,MATCH(D272,Listas!$A$5:$A$30,0)),""))</f>
        <v/>
      </c>
      <c r="G272" s="26"/>
      <c r="H272" s="29" t="str">
        <f aca="true">IF(OR(A272="",F272="",G272="Concluído"),"",F272-TODAY())</f>
        <v/>
      </c>
      <c r="I272" s="30" t="str">
        <f aca="false">IF(A272="","",IF(G272="Concluído","✅ Concluído",IF(F272="","⚪ Sem prazo",IF(H272&lt;0,"🔴 COBRAR · "&amp;-H272&amp;" dia(s) atrasado",IF(H272=0,"🟠 Vence HOJE",IF(H272&lt;=3,"🟠 Vence em "&amp;H272&amp;" dia(s)","🟢 No prazo"))))))</f>
        <v/>
      </c>
      <c r="J272" s="27"/>
      <c r="K272" s="26"/>
      <c r="L272" s="30" t="str">
        <f aca="true">IF(OR(A272="",G272="Concluído",F272=""),"",IF(F272&lt;=TODAY()+3,F272+ROW()/1000000,""))</f>
        <v/>
      </c>
    </row>
    <row r="273" customFormat="false" ht="15" hidden="false" customHeight="false" outlineLevel="0" collapsed="false">
      <c r="A273" s="26"/>
      <c r="B273" s="26"/>
      <c r="C273" s="27"/>
      <c r="D273" s="26"/>
      <c r="E273" s="26"/>
      <c r="F273" s="28" t="str">
        <f aca="false">IF(OR(C273="",D273=""),"",IFERROR(C273-INDEX(Listas!$B$5:$B$30,MATCH(D273,Listas!$A$5:$A$30,0)),""))</f>
        <v/>
      </c>
      <c r="G273" s="26"/>
      <c r="H273" s="29" t="str">
        <f aca="true">IF(OR(A273="",F273="",G273="Concluído"),"",F273-TODAY())</f>
        <v/>
      </c>
      <c r="I273" s="30" t="str">
        <f aca="false">IF(A273="","",IF(G273="Concluído","✅ Concluído",IF(F273="","⚪ Sem prazo",IF(H273&lt;0,"🔴 COBRAR · "&amp;-H273&amp;" dia(s) atrasado",IF(H273=0,"🟠 Vence HOJE",IF(H273&lt;=3,"🟠 Vence em "&amp;H273&amp;" dia(s)","🟢 No prazo"))))))</f>
        <v/>
      </c>
      <c r="J273" s="27"/>
      <c r="K273" s="26"/>
      <c r="L273" s="30" t="str">
        <f aca="true">IF(OR(A273="",G273="Concluído",F273=""),"",IF(F273&lt;=TODAY()+3,F273+ROW()/1000000,""))</f>
        <v/>
      </c>
    </row>
    <row r="274" customFormat="false" ht="15" hidden="false" customHeight="false" outlineLevel="0" collapsed="false">
      <c r="A274" s="26"/>
      <c r="B274" s="26"/>
      <c r="C274" s="27"/>
      <c r="D274" s="26"/>
      <c r="E274" s="26"/>
      <c r="F274" s="28" t="str">
        <f aca="false">IF(OR(C274="",D274=""),"",IFERROR(C274-INDEX(Listas!$B$5:$B$30,MATCH(D274,Listas!$A$5:$A$30,0)),""))</f>
        <v/>
      </c>
      <c r="G274" s="26"/>
      <c r="H274" s="29" t="str">
        <f aca="true">IF(OR(A274="",F274="",G274="Concluído"),"",F274-TODAY())</f>
        <v/>
      </c>
      <c r="I274" s="30" t="str">
        <f aca="false">IF(A274="","",IF(G274="Concluído","✅ Concluído",IF(F274="","⚪ Sem prazo",IF(H274&lt;0,"🔴 COBRAR · "&amp;-H274&amp;" dia(s) atrasado",IF(H274=0,"🟠 Vence HOJE",IF(H274&lt;=3,"🟠 Vence em "&amp;H274&amp;" dia(s)","🟢 No prazo"))))))</f>
        <v/>
      </c>
      <c r="J274" s="27"/>
      <c r="K274" s="26"/>
      <c r="L274" s="30" t="str">
        <f aca="true">IF(OR(A274="",G274="Concluído",F274=""),"",IF(F274&lt;=TODAY()+3,F274+ROW()/1000000,""))</f>
        <v/>
      </c>
    </row>
    <row r="275" customFormat="false" ht="15" hidden="false" customHeight="false" outlineLevel="0" collapsed="false">
      <c r="A275" s="26"/>
      <c r="B275" s="26"/>
      <c r="C275" s="27"/>
      <c r="D275" s="26"/>
      <c r="E275" s="26"/>
      <c r="F275" s="28" t="str">
        <f aca="false">IF(OR(C275="",D275=""),"",IFERROR(C275-INDEX(Listas!$B$5:$B$30,MATCH(D275,Listas!$A$5:$A$30,0)),""))</f>
        <v/>
      </c>
      <c r="G275" s="26"/>
      <c r="H275" s="29" t="str">
        <f aca="true">IF(OR(A275="",F275="",G275="Concluído"),"",F275-TODAY())</f>
        <v/>
      </c>
      <c r="I275" s="30" t="str">
        <f aca="false">IF(A275="","",IF(G275="Concluído","✅ Concluído",IF(F275="","⚪ Sem prazo",IF(H275&lt;0,"🔴 COBRAR · "&amp;-H275&amp;" dia(s) atrasado",IF(H275=0,"🟠 Vence HOJE",IF(H275&lt;=3,"🟠 Vence em "&amp;H275&amp;" dia(s)","🟢 No prazo"))))))</f>
        <v/>
      </c>
      <c r="J275" s="27"/>
      <c r="K275" s="26"/>
      <c r="L275" s="30" t="str">
        <f aca="true">IF(OR(A275="",G275="Concluído",F275=""),"",IF(F275&lt;=TODAY()+3,F275+ROW()/1000000,""))</f>
        <v/>
      </c>
    </row>
    <row r="276" customFormat="false" ht="15" hidden="false" customHeight="false" outlineLevel="0" collapsed="false">
      <c r="A276" s="26"/>
      <c r="B276" s="26"/>
      <c r="C276" s="27"/>
      <c r="D276" s="26"/>
      <c r="E276" s="26"/>
      <c r="F276" s="28" t="str">
        <f aca="false">IF(OR(C276="",D276=""),"",IFERROR(C276-INDEX(Listas!$B$5:$B$30,MATCH(D276,Listas!$A$5:$A$30,0)),""))</f>
        <v/>
      </c>
      <c r="G276" s="26"/>
      <c r="H276" s="29" t="str">
        <f aca="true">IF(OR(A276="",F276="",G276="Concluído"),"",F276-TODAY())</f>
        <v/>
      </c>
      <c r="I276" s="30" t="str">
        <f aca="false">IF(A276="","",IF(G276="Concluído","✅ Concluído",IF(F276="","⚪ Sem prazo",IF(H276&lt;0,"🔴 COBRAR · "&amp;-H276&amp;" dia(s) atrasado",IF(H276=0,"🟠 Vence HOJE",IF(H276&lt;=3,"🟠 Vence em "&amp;H276&amp;" dia(s)","🟢 No prazo"))))))</f>
        <v/>
      </c>
      <c r="J276" s="27"/>
      <c r="K276" s="26"/>
      <c r="L276" s="30" t="str">
        <f aca="true">IF(OR(A276="",G276="Concluído",F276=""),"",IF(F276&lt;=TODAY()+3,F276+ROW()/1000000,""))</f>
        <v/>
      </c>
    </row>
    <row r="277" customFormat="false" ht="15" hidden="false" customHeight="false" outlineLevel="0" collapsed="false">
      <c r="A277" s="26"/>
      <c r="B277" s="26"/>
      <c r="C277" s="27"/>
      <c r="D277" s="26"/>
      <c r="E277" s="26"/>
      <c r="F277" s="28" t="str">
        <f aca="false">IF(OR(C277="",D277=""),"",IFERROR(C277-INDEX(Listas!$B$5:$B$30,MATCH(D277,Listas!$A$5:$A$30,0)),""))</f>
        <v/>
      </c>
      <c r="G277" s="26"/>
      <c r="H277" s="29" t="str">
        <f aca="true">IF(OR(A277="",F277="",G277="Concluído"),"",F277-TODAY())</f>
        <v/>
      </c>
      <c r="I277" s="30" t="str">
        <f aca="false">IF(A277="","",IF(G277="Concluído","✅ Concluído",IF(F277="","⚪ Sem prazo",IF(H277&lt;0,"🔴 COBRAR · "&amp;-H277&amp;" dia(s) atrasado",IF(H277=0,"🟠 Vence HOJE",IF(H277&lt;=3,"🟠 Vence em "&amp;H277&amp;" dia(s)","🟢 No prazo"))))))</f>
        <v/>
      </c>
      <c r="J277" s="27"/>
      <c r="K277" s="26"/>
      <c r="L277" s="30" t="str">
        <f aca="true">IF(OR(A277="",G277="Concluído",F277=""),"",IF(F277&lt;=TODAY()+3,F277+ROW()/1000000,""))</f>
        <v/>
      </c>
    </row>
    <row r="278" customFormat="false" ht="15" hidden="false" customHeight="false" outlineLevel="0" collapsed="false">
      <c r="A278" s="26"/>
      <c r="B278" s="26"/>
      <c r="C278" s="27"/>
      <c r="D278" s="26"/>
      <c r="E278" s="26"/>
      <c r="F278" s="28" t="str">
        <f aca="false">IF(OR(C278="",D278=""),"",IFERROR(C278-INDEX(Listas!$B$5:$B$30,MATCH(D278,Listas!$A$5:$A$30,0)),""))</f>
        <v/>
      </c>
      <c r="G278" s="26"/>
      <c r="H278" s="29" t="str">
        <f aca="true">IF(OR(A278="",F278="",G278="Concluído"),"",F278-TODAY())</f>
        <v/>
      </c>
      <c r="I278" s="30" t="str">
        <f aca="false">IF(A278="","",IF(G278="Concluído","✅ Concluído",IF(F278="","⚪ Sem prazo",IF(H278&lt;0,"🔴 COBRAR · "&amp;-H278&amp;" dia(s) atrasado",IF(H278=0,"🟠 Vence HOJE",IF(H278&lt;=3,"🟠 Vence em "&amp;H278&amp;" dia(s)","🟢 No prazo"))))))</f>
        <v/>
      </c>
      <c r="J278" s="27"/>
      <c r="K278" s="26"/>
      <c r="L278" s="30" t="str">
        <f aca="true">IF(OR(A278="",G278="Concluído",F278=""),"",IF(F278&lt;=TODAY()+3,F278+ROW()/1000000,""))</f>
        <v/>
      </c>
    </row>
    <row r="279" customFormat="false" ht="15" hidden="false" customHeight="false" outlineLevel="0" collapsed="false">
      <c r="A279" s="26"/>
      <c r="B279" s="26"/>
      <c r="C279" s="27"/>
      <c r="D279" s="26"/>
      <c r="E279" s="26"/>
      <c r="F279" s="28" t="str">
        <f aca="false">IF(OR(C279="",D279=""),"",IFERROR(C279-INDEX(Listas!$B$5:$B$30,MATCH(D279,Listas!$A$5:$A$30,0)),""))</f>
        <v/>
      </c>
      <c r="G279" s="26"/>
      <c r="H279" s="29" t="str">
        <f aca="true">IF(OR(A279="",F279="",G279="Concluído"),"",F279-TODAY())</f>
        <v/>
      </c>
      <c r="I279" s="30" t="str">
        <f aca="false">IF(A279="","",IF(G279="Concluído","✅ Concluído",IF(F279="","⚪ Sem prazo",IF(H279&lt;0,"🔴 COBRAR · "&amp;-H279&amp;" dia(s) atrasado",IF(H279=0,"🟠 Vence HOJE",IF(H279&lt;=3,"🟠 Vence em "&amp;H279&amp;" dia(s)","🟢 No prazo"))))))</f>
        <v/>
      </c>
      <c r="J279" s="27"/>
      <c r="K279" s="26"/>
      <c r="L279" s="30" t="str">
        <f aca="true">IF(OR(A279="",G279="Concluído",F279=""),"",IF(F279&lt;=TODAY()+3,F279+ROW()/1000000,""))</f>
        <v/>
      </c>
    </row>
    <row r="280" customFormat="false" ht="15" hidden="false" customHeight="false" outlineLevel="0" collapsed="false">
      <c r="A280" s="26"/>
      <c r="B280" s="26"/>
      <c r="C280" s="27"/>
      <c r="D280" s="26"/>
      <c r="E280" s="26"/>
      <c r="F280" s="28" t="str">
        <f aca="false">IF(OR(C280="",D280=""),"",IFERROR(C280-INDEX(Listas!$B$5:$B$30,MATCH(D280,Listas!$A$5:$A$30,0)),""))</f>
        <v/>
      </c>
      <c r="G280" s="26"/>
      <c r="H280" s="29" t="str">
        <f aca="true">IF(OR(A280="",F280="",G280="Concluído"),"",F280-TODAY())</f>
        <v/>
      </c>
      <c r="I280" s="30" t="str">
        <f aca="false">IF(A280="","",IF(G280="Concluído","✅ Concluído",IF(F280="","⚪ Sem prazo",IF(H280&lt;0,"🔴 COBRAR · "&amp;-H280&amp;" dia(s) atrasado",IF(H280=0,"🟠 Vence HOJE",IF(H280&lt;=3,"🟠 Vence em "&amp;H280&amp;" dia(s)","🟢 No prazo"))))))</f>
        <v/>
      </c>
      <c r="J280" s="27"/>
      <c r="K280" s="26"/>
      <c r="L280" s="30" t="str">
        <f aca="true">IF(OR(A280="",G280="Concluído",F280=""),"",IF(F280&lt;=TODAY()+3,F280+ROW()/1000000,""))</f>
        <v/>
      </c>
    </row>
    <row r="281" customFormat="false" ht="15" hidden="false" customHeight="false" outlineLevel="0" collapsed="false">
      <c r="A281" s="26"/>
      <c r="B281" s="26"/>
      <c r="C281" s="27"/>
      <c r="D281" s="26"/>
      <c r="E281" s="26"/>
      <c r="F281" s="28" t="str">
        <f aca="false">IF(OR(C281="",D281=""),"",IFERROR(C281-INDEX(Listas!$B$5:$B$30,MATCH(D281,Listas!$A$5:$A$30,0)),""))</f>
        <v/>
      </c>
      <c r="G281" s="26"/>
      <c r="H281" s="29" t="str">
        <f aca="true">IF(OR(A281="",F281="",G281="Concluído"),"",F281-TODAY())</f>
        <v/>
      </c>
      <c r="I281" s="30" t="str">
        <f aca="false">IF(A281="","",IF(G281="Concluído","✅ Concluído",IF(F281="","⚪ Sem prazo",IF(H281&lt;0,"🔴 COBRAR · "&amp;-H281&amp;" dia(s) atrasado",IF(H281=0,"🟠 Vence HOJE",IF(H281&lt;=3,"🟠 Vence em "&amp;H281&amp;" dia(s)","🟢 No prazo"))))))</f>
        <v/>
      </c>
      <c r="J281" s="27"/>
      <c r="K281" s="26"/>
      <c r="L281" s="30" t="str">
        <f aca="true">IF(OR(A281="",G281="Concluído",F281=""),"",IF(F281&lt;=TODAY()+3,F281+ROW()/1000000,""))</f>
        <v/>
      </c>
    </row>
    <row r="282" customFormat="false" ht="15" hidden="false" customHeight="false" outlineLevel="0" collapsed="false">
      <c r="A282" s="26"/>
      <c r="B282" s="26"/>
      <c r="C282" s="27"/>
      <c r="D282" s="26"/>
      <c r="E282" s="26"/>
      <c r="F282" s="28" t="str">
        <f aca="false">IF(OR(C282="",D282=""),"",IFERROR(C282-INDEX(Listas!$B$5:$B$30,MATCH(D282,Listas!$A$5:$A$30,0)),""))</f>
        <v/>
      </c>
      <c r="G282" s="26"/>
      <c r="H282" s="29" t="str">
        <f aca="true">IF(OR(A282="",F282="",G282="Concluído"),"",F282-TODAY())</f>
        <v/>
      </c>
      <c r="I282" s="30" t="str">
        <f aca="false">IF(A282="","",IF(G282="Concluído","✅ Concluído",IF(F282="","⚪ Sem prazo",IF(H282&lt;0,"🔴 COBRAR · "&amp;-H282&amp;" dia(s) atrasado",IF(H282=0,"🟠 Vence HOJE",IF(H282&lt;=3,"🟠 Vence em "&amp;H282&amp;" dia(s)","🟢 No prazo"))))))</f>
        <v/>
      </c>
      <c r="J282" s="27"/>
      <c r="K282" s="26"/>
      <c r="L282" s="30" t="str">
        <f aca="true">IF(OR(A282="",G282="Concluído",F282=""),"",IF(F282&lt;=TODAY()+3,F282+ROW()/1000000,""))</f>
        <v/>
      </c>
    </row>
    <row r="283" customFormat="false" ht="15" hidden="false" customHeight="false" outlineLevel="0" collapsed="false">
      <c r="A283" s="26"/>
      <c r="B283" s="26"/>
      <c r="C283" s="27"/>
      <c r="D283" s="26"/>
      <c r="E283" s="26"/>
      <c r="F283" s="28" t="str">
        <f aca="false">IF(OR(C283="",D283=""),"",IFERROR(C283-INDEX(Listas!$B$5:$B$30,MATCH(D283,Listas!$A$5:$A$30,0)),""))</f>
        <v/>
      </c>
      <c r="G283" s="26"/>
      <c r="H283" s="29" t="str">
        <f aca="true">IF(OR(A283="",F283="",G283="Concluído"),"",F283-TODAY())</f>
        <v/>
      </c>
      <c r="I283" s="30" t="str">
        <f aca="false">IF(A283="","",IF(G283="Concluído","✅ Concluído",IF(F283="","⚪ Sem prazo",IF(H283&lt;0,"🔴 COBRAR · "&amp;-H283&amp;" dia(s) atrasado",IF(H283=0,"🟠 Vence HOJE",IF(H283&lt;=3,"🟠 Vence em "&amp;H283&amp;" dia(s)","🟢 No prazo"))))))</f>
        <v/>
      </c>
      <c r="J283" s="27"/>
      <c r="K283" s="26"/>
      <c r="L283" s="30" t="str">
        <f aca="true">IF(OR(A283="",G283="Concluído",F283=""),"",IF(F283&lt;=TODAY()+3,F283+ROW()/1000000,""))</f>
        <v/>
      </c>
    </row>
    <row r="284" customFormat="false" ht="15" hidden="false" customHeight="false" outlineLevel="0" collapsed="false">
      <c r="A284" s="26"/>
      <c r="B284" s="26"/>
      <c r="C284" s="27"/>
      <c r="D284" s="26"/>
      <c r="E284" s="26"/>
      <c r="F284" s="28" t="str">
        <f aca="false">IF(OR(C284="",D284=""),"",IFERROR(C284-INDEX(Listas!$B$5:$B$30,MATCH(D284,Listas!$A$5:$A$30,0)),""))</f>
        <v/>
      </c>
      <c r="G284" s="26"/>
      <c r="H284" s="29" t="str">
        <f aca="true">IF(OR(A284="",F284="",G284="Concluído"),"",F284-TODAY())</f>
        <v/>
      </c>
      <c r="I284" s="30" t="str">
        <f aca="false">IF(A284="","",IF(G284="Concluído","✅ Concluído",IF(F284="","⚪ Sem prazo",IF(H284&lt;0,"🔴 COBRAR · "&amp;-H284&amp;" dia(s) atrasado",IF(H284=0,"🟠 Vence HOJE",IF(H284&lt;=3,"🟠 Vence em "&amp;H284&amp;" dia(s)","🟢 No prazo"))))))</f>
        <v/>
      </c>
      <c r="J284" s="27"/>
      <c r="K284" s="26"/>
      <c r="L284" s="30" t="str">
        <f aca="true">IF(OR(A284="",G284="Concluído",F284=""),"",IF(F284&lt;=TODAY()+3,F284+ROW()/1000000,""))</f>
        <v/>
      </c>
    </row>
    <row r="285" customFormat="false" ht="15" hidden="false" customHeight="false" outlineLevel="0" collapsed="false">
      <c r="A285" s="26"/>
      <c r="B285" s="26"/>
      <c r="C285" s="27"/>
      <c r="D285" s="26"/>
      <c r="E285" s="26"/>
      <c r="F285" s="28" t="str">
        <f aca="false">IF(OR(C285="",D285=""),"",IFERROR(C285-INDEX(Listas!$B$5:$B$30,MATCH(D285,Listas!$A$5:$A$30,0)),""))</f>
        <v/>
      </c>
      <c r="G285" s="26"/>
      <c r="H285" s="29" t="str">
        <f aca="true">IF(OR(A285="",F285="",G285="Concluído"),"",F285-TODAY())</f>
        <v/>
      </c>
      <c r="I285" s="30" t="str">
        <f aca="false">IF(A285="","",IF(G285="Concluído","✅ Concluído",IF(F285="","⚪ Sem prazo",IF(H285&lt;0,"🔴 COBRAR · "&amp;-H285&amp;" dia(s) atrasado",IF(H285=0,"🟠 Vence HOJE",IF(H285&lt;=3,"🟠 Vence em "&amp;H285&amp;" dia(s)","🟢 No prazo"))))))</f>
        <v/>
      </c>
      <c r="J285" s="27"/>
      <c r="K285" s="26"/>
      <c r="L285" s="30" t="str">
        <f aca="true">IF(OR(A285="",G285="Concluído",F285=""),"",IF(F285&lt;=TODAY()+3,F285+ROW()/1000000,""))</f>
        <v/>
      </c>
    </row>
    <row r="286" customFormat="false" ht="15" hidden="false" customHeight="false" outlineLevel="0" collapsed="false">
      <c r="A286" s="26"/>
      <c r="B286" s="26"/>
      <c r="C286" s="27"/>
      <c r="D286" s="26"/>
      <c r="E286" s="26"/>
      <c r="F286" s="28" t="str">
        <f aca="false">IF(OR(C286="",D286=""),"",IFERROR(C286-INDEX(Listas!$B$5:$B$30,MATCH(D286,Listas!$A$5:$A$30,0)),""))</f>
        <v/>
      </c>
      <c r="G286" s="26"/>
      <c r="H286" s="29" t="str">
        <f aca="true">IF(OR(A286="",F286="",G286="Concluído"),"",F286-TODAY())</f>
        <v/>
      </c>
      <c r="I286" s="30" t="str">
        <f aca="false">IF(A286="","",IF(G286="Concluído","✅ Concluído",IF(F286="","⚪ Sem prazo",IF(H286&lt;0,"🔴 COBRAR · "&amp;-H286&amp;" dia(s) atrasado",IF(H286=0,"🟠 Vence HOJE",IF(H286&lt;=3,"🟠 Vence em "&amp;H286&amp;" dia(s)","🟢 No prazo"))))))</f>
        <v/>
      </c>
      <c r="J286" s="27"/>
      <c r="K286" s="26"/>
      <c r="L286" s="30" t="str">
        <f aca="true">IF(OR(A286="",G286="Concluído",F286=""),"",IF(F286&lt;=TODAY()+3,F286+ROW()/1000000,""))</f>
        <v/>
      </c>
    </row>
    <row r="287" customFormat="false" ht="15" hidden="false" customHeight="false" outlineLevel="0" collapsed="false">
      <c r="A287" s="26"/>
      <c r="B287" s="26"/>
      <c r="C287" s="27"/>
      <c r="D287" s="26"/>
      <c r="E287" s="26"/>
      <c r="F287" s="28" t="str">
        <f aca="false">IF(OR(C287="",D287=""),"",IFERROR(C287-INDEX(Listas!$B$5:$B$30,MATCH(D287,Listas!$A$5:$A$30,0)),""))</f>
        <v/>
      </c>
      <c r="G287" s="26"/>
      <c r="H287" s="29" t="str">
        <f aca="true">IF(OR(A287="",F287="",G287="Concluído"),"",F287-TODAY())</f>
        <v/>
      </c>
      <c r="I287" s="30" t="str">
        <f aca="false">IF(A287="","",IF(G287="Concluído","✅ Concluído",IF(F287="","⚪ Sem prazo",IF(H287&lt;0,"🔴 COBRAR · "&amp;-H287&amp;" dia(s) atrasado",IF(H287=0,"🟠 Vence HOJE",IF(H287&lt;=3,"🟠 Vence em "&amp;H287&amp;" dia(s)","🟢 No prazo"))))))</f>
        <v/>
      </c>
      <c r="J287" s="27"/>
      <c r="K287" s="26"/>
      <c r="L287" s="30" t="str">
        <f aca="true">IF(OR(A287="",G287="Concluído",F287=""),"",IF(F287&lt;=TODAY()+3,F287+ROW()/1000000,""))</f>
        <v/>
      </c>
    </row>
    <row r="288" customFormat="false" ht="15" hidden="false" customHeight="false" outlineLevel="0" collapsed="false">
      <c r="A288" s="26"/>
      <c r="B288" s="26"/>
      <c r="C288" s="27"/>
      <c r="D288" s="26"/>
      <c r="E288" s="26"/>
      <c r="F288" s="28" t="str">
        <f aca="false">IF(OR(C288="",D288=""),"",IFERROR(C288-INDEX(Listas!$B$5:$B$30,MATCH(D288,Listas!$A$5:$A$30,0)),""))</f>
        <v/>
      </c>
      <c r="G288" s="26"/>
      <c r="H288" s="29" t="str">
        <f aca="true">IF(OR(A288="",F288="",G288="Concluído"),"",F288-TODAY())</f>
        <v/>
      </c>
      <c r="I288" s="30" t="str">
        <f aca="false">IF(A288="","",IF(G288="Concluído","✅ Concluído",IF(F288="","⚪ Sem prazo",IF(H288&lt;0,"🔴 COBRAR · "&amp;-H288&amp;" dia(s) atrasado",IF(H288=0,"🟠 Vence HOJE",IF(H288&lt;=3,"🟠 Vence em "&amp;H288&amp;" dia(s)","🟢 No prazo"))))))</f>
        <v/>
      </c>
      <c r="J288" s="27"/>
      <c r="K288" s="26"/>
      <c r="L288" s="30" t="str">
        <f aca="true">IF(OR(A288="",G288="Concluído",F288=""),"",IF(F288&lt;=TODAY()+3,F288+ROW()/1000000,""))</f>
        <v/>
      </c>
    </row>
    <row r="289" customFormat="false" ht="15" hidden="false" customHeight="false" outlineLevel="0" collapsed="false">
      <c r="A289" s="26"/>
      <c r="B289" s="26"/>
      <c r="C289" s="27"/>
      <c r="D289" s="26"/>
      <c r="E289" s="26"/>
      <c r="F289" s="28" t="str">
        <f aca="false">IF(OR(C289="",D289=""),"",IFERROR(C289-INDEX(Listas!$B$5:$B$30,MATCH(D289,Listas!$A$5:$A$30,0)),""))</f>
        <v/>
      </c>
      <c r="G289" s="26"/>
      <c r="H289" s="29" t="str">
        <f aca="true">IF(OR(A289="",F289="",G289="Concluído"),"",F289-TODAY())</f>
        <v/>
      </c>
      <c r="I289" s="30" t="str">
        <f aca="false">IF(A289="","",IF(G289="Concluído","✅ Concluído",IF(F289="","⚪ Sem prazo",IF(H289&lt;0,"🔴 COBRAR · "&amp;-H289&amp;" dia(s) atrasado",IF(H289=0,"🟠 Vence HOJE",IF(H289&lt;=3,"🟠 Vence em "&amp;H289&amp;" dia(s)","🟢 No prazo"))))))</f>
        <v/>
      </c>
      <c r="J289" s="27"/>
      <c r="K289" s="26"/>
      <c r="L289" s="30" t="str">
        <f aca="true">IF(OR(A289="",G289="Concluído",F289=""),"",IF(F289&lt;=TODAY()+3,F289+ROW()/1000000,""))</f>
        <v/>
      </c>
    </row>
    <row r="290" customFormat="false" ht="15" hidden="false" customHeight="false" outlineLevel="0" collapsed="false">
      <c r="A290" s="26"/>
      <c r="B290" s="26"/>
      <c r="C290" s="27"/>
      <c r="D290" s="26"/>
      <c r="E290" s="26"/>
      <c r="F290" s="28" t="str">
        <f aca="false">IF(OR(C290="",D290=""),"",IFERROR(C290-INDEX(Listas!$B$5:$B$30,MATCH(D290,Listas!$A$5:$A$30,0)),""))</f>
        <v/>
      </c>
      <c r="G290" s="26"/>
      <c r="H290" s="29" t="str">
        <f aca="true">IF(OR(A290="",F290="",G290="Concluído"),"",F290-TODAY())</f>
        <v/>
      </c>
      <c r="I290" s="30" t="str">
        <f aca="false">IF(A290="","",IF(G290="Concluído","✅ Concluído",IF(F290="","⚪ Sem prazo",IF(H290&lt;0,"🔴 COBRAR · "&amp;-H290&amp;" dia(s) atrasado",IF(H290=0,"🟠 Vence HOJE",IF(H290&lt;=3,"🟠 Vence em "&amp;H290&amp;" dia(s)","🟢 No prazo"))))))</f>
        <v/>
      </c>
      <c r="J290" s="27"/>
      <c r="K290" s="26"/>
      <c r="L290" s="30" t="str">
        <f aca="true">IF(OR(A290="",G290="Concluído",F290=""),"",IF(F290&lt;=TODAY()+3,F290+ROW()/1000000,""))</f>
        <v/>
      </c>
    </row>
    <row r="291" customFormat="false" ht="15" hidden="false" customHeight="false" outlineLevel="0" collapsed="false">
      <c r="A291" s="26"/>
      <c r="B291" s="26"/>
      <c r="C291" s="27"/>
      <c r="D291" s="26"/>
      <c r="E291" s="26"/>
      <c r="F291" s="28" t="str">
        <f aca="false">IF(OR(C291="",D291=""),"",IFERROR(C291-INDEX(Listas!$B$5:$B$30,MATCH(D291,Listas!$A$5:$A$30,0)),""))</f>
        <v/>
      </c>
      <c r="G291" s="26"/>
      <c r="H291" s="29" t="str">
        <f aca="true">IF(OR(A291="",F291="",G291="Concluído"),"",F291-TODAY())</f>
        <v/>
      </c>
      <c r="I291" s="30" t="str">
        <f aca="false">IF(A291="","",IF(G291="Concluído","✅ Concluído",IF(F291="","⚪ Sem prazo",IF(H291&lt;0,"🔴 COBRAR · "&amp;-H291&amp;" dia(s) atrasado",IF(H291=0,"🟠 Vence HOJE",IF(H291&lt;=3,"🟠 Vence em "&amp;H291&amp;" dia(s)","🟢 No prazo"))))))</f>
        <v/>
      </c>
      <c r="J291" s="27"/>
      <c r="K291" s="26"/>
      <c r="L291" s="30" t="str">
        <f aca="true">IF(OR(A291="",G291="Concluído",F291=""),"",IF(F291&lt;=TODAY()+3,F291+ROW()/1000000,""))</f>
        <v/>
      </c>
    </row>
    <row r="292" customFormat="false" ht="15" hidden="false" customHeight="false" outlineLevel="0" collapsed="false">
      <c r="A292" s="26"/>
      <c r="B292" s="26"/>
      <c r="C292" s="27"/>
      <c r="D292" s="26"/>
      <c r="E292" s="26"/>
      <c r="F292" s="28" t="str">
        <f aca="false">IF(OR(C292="",D292=""),"",IFERROR(C292-INDEX(Listas!$B$5:$B$30,MATCH(D292,Listas!$A$5:$A$30,0)),""))</f>
        <v/>
      </c>
      <c r="G292" s="26"/>
      <c r="H292" s="29" t="str">
        <f aca="true">IF(OR(A292="",F292="",G292="Concluído"),"",F292-TODAY())</f>
        <v/>
      </c>
      <c r="I292" s="30" t="str">
        <f aca="false">IF(A292="","",IF(G292="Concluído","✅ Concluído",IF(F292="","⚪ Sem prazo",IF(H292&lt;0,"🔴 COBRAR · "&amp;-H292&amp;" dia(s) atrasado",IF(H292=0,"🟠 Vence HOJE",IF(H292&lt;=3,"🟠 Vence em "&amp;H292&amp;" dia(s)","🟢 No prazo"))))))</f>
        <v/>
      </c>
      <c r="J292" s="27"/>
      <c r="K292" s="26"/>
      <c r="L292" s="30" t="str">
        <f aca="true">IF(OR(A292="",G292="Concluído",F292=""),"",IF(F292&lt;=TODAY()+3,F292+ROW()/1000000,""))</f>
        <v/>
      </c>
    </row>
    <row r="293" customFormat="false" ht="15" hidden="false" customHeight="false" outlineLevel="0" collapsed="false">
      <c r="A293" s="26"/>
      <c r="B293" s="26"/>
      <c r="C293" s="27"/>
      <c r="D293" s="26"/>
      <c r="E293" s="26"/>
      <c r="F293" s="28" t="str">
        <f aca="false">IF(OR(C293="",D293=""),"",IFERROR(C293-INDEX(Listas!$B$5:$B$30,MATCH(D293,Listas!$A$5:$A$30,0)),""))</f>
        <v/>
      </c>
      <c r="G293" s="26"/>
      <c r="H293" s="29" t="str">
        <f aca="true">IF(OR(A293="",F293="",G293="Concluído"),"",F293-TODAY())</f>
        <v/>
      </c>
      <c r="I293" s="30" t="str">
        <f aca="false">IF(A293="","",IF(G293="Concluído","✅ Concluído",IF(F293="","⚪ Sem prazo",IF(H293&lt;0,"🔴 COBRAR · "&amp;-H293&amp;" dia(s) atrasado",IF(H293=0,"🟠 Vence HOJE",IF(H293&lt;=3,"🟠 Vence em "&amp;H293&amp;" dia(s)","🟢 No prazo"))))))</f>
        <v/>
      </c>
      <c r="J293" s="27"/>
      <c r="K293" s="26"/>
      <c r="L293" s="30" t="str">
        <f aca="true">IF(OR(A293="",G293="Concluído",F293=""),"",IF(F293&lt;=TODAY()+3,F293+ROW()/1000000,""))</f>
        <v/>
      </c>
    </row>
    <row r="294" customFormat="false" ht="15" hidden="false" customHeight="false" outlineLevel="0" collapsed="false">
      <c r="A294" s="26"/>
      <c r="B294" s="26"/>
      <c r="C294" s="27"/>
      <c r="D294" s="26"/>
      <c r="E294" s="26"/>
      <c r="F294" s="28" t="str">
        <f aca="false">IF(OR(C294="",D294=""),"",IFERROR(C294-INDEX(Listas!$B$5:$B$30,MATCH(D294,Listas!$A$5:$A$30,0)),""))</f>
        <v/>
      </c>
      <c r="G294" s="26"/>
      <c r="H294" s="29" t="str">
        <f aca="true">IF(OR(A294="",F294="",G294="Concluído"),"",F294-TODAY())</f>
        <v/>
      </c>
      <c r="I294" s="30" t="str">
        <f aca="false">IF(A294="","",IF(G294="Concluído","✅ Concluído",IF(F294="","⚪ Sem prazo",IF(H294&lt;0,"🔴 COBRAR · "&amp;-H294&amp;" dia(s) atrasado",IF(H294=0,"🟠 Vence HOJE",IF(H294&lt;=3,"🟠 Vence em "&amp;H294&amp;" dia(s)","🟢 No prazo"))))))</f>
        <v/>
      </c>
      <c r="J294" s="27"/>
      <c r="K294" s="26"/>
      <c r="L294" s="30" t="str">
        <f aca="true">IF(OR(A294="",G294="Concluído",F294=""),"",IF(F294&lt;=TODAY()+3,F294+ROW()/1000000,""))</f>
        <v/>
      </c>
    </row>
    <row r="295" customFormat="false" ht="15" hidden="false" customHeight="false" outlineLevel="0" collapsed="false">
      <c r="A295" s="26"/>
      <c r="B295" s="26"/>
      <c r="C295" s="27"/>
      <c r="D295" s="26"/>
      <c r="E295" s="26"/>
      <c r="F295" s="28" t="str">
        <f aca="false">IF(OR(C295="",D295=""),"",IFERROR(C295-INDEX(Listas!$B$5:$B$30,MATCH(D295,Listas!$A$5:$A$30,0)),""))</f>
        <v/>
      </c>
      <c r="G295" s="26"/>
      <c r="H295" s="29" t="str">
        <f aca="true">IF(OR(A295="",F295="",G295="Concluído"),"",F295-TODAY())</f>
        <v/>
      </c>
      <c r="I295" s="30" t="str">
        <f aca="false">IF(A295="","",IF(G295="Concluído","✅ Concluído",IF(F295="","⚪ Sem prazo",IF(H295&lt;0,"🔴 COBRAR · "&amp;-H295&amp;" dia(s) atrasado",IF(H295=0,"🟠 Vence HOJE",IF(H295&lt;=3,"🟠 Vence em "&amp;H295&amp;" dia(s)","🟢 No prazo"))))))</f>
        <v/>
      </c>
      <c r="J295" s="27"/>
      <c r="K295" s="26"/>
      <c r="L295" s="30" t="str">
        <f aca="true">IF(OR(A295="",G295="Concluído",F295=""),"",IF(F295&lt;=TODAY()+3,F295+ROW()/1000000,""))</f>
        <v/>
      </c>
    </row>
    <row r="296" customFormat="false" ht="15" hidden="false" customHeight="false" outlineLevel="0" collapsed="false">
      <c r="A296" s="26"/>
      <c r="B296" s="26"/>
      <c r="C296" s="27"/>
      <c r="D296" s="26"/>
      <c r="E296" s="26"/>
      <c r="F296" s="28" t="str">
        <f aca="false">IF(OR(C296="",D296=""),"",IFERROR(C296-INDEX(Listas!$B$5:$B$30,MATCH(D296,Listas!$A$5:$A$30,0)),""))</f>
        <v/>
      </c>
      <c r="G296" s="26"/>
      <c r="H296" s="29" t="str">
        <f aca="true">IF(OR(A296="",F296="",G296="Concluído"),"",F296-TODAY())</f>
        <v/>
      </c>
      <c r="I296" s="30" t="str">
        <f aca="false">IF(A296="","",IF(G296="Concluído","✅ Concluído",IF(F296="","⚪ Sem prazo",IF(H296&lt;0,"🔴 COBRAR · "&amp;-H296&amp;" dia(s) atrasado",IF(H296=0,"🟠 Vence HOJE",IF(H296&lt;=3,"🟠 Vence em "&amp;H296&amp;" dia(s)","🟢 No prazo"))))))</f>
        <v/>
      </c>
      <c r="J296" s="27"/>
      <c r="K296" s="26"/>
      <c r="L296" s="30" t="str">
        <f aca="true">IF(OR(A296="",G296="Concluído",F296=""),"",IF(F296&lt;=TODAY()+3,F296+ROW()/1000000,""))</f>
        <v/>
      </c>
    </row>
    <row r="297" customFormat="false" ht="15" hidden="false" customHeight="false" outlineLevel="0" collapsed="false">
      <c r="A297" s="26"/>
      <c r="B297" s="26"/>
      <c r="C297" s="27"/>
      <c r="D297" s="26"/>
      <c r="E297" s="26"/>
      <c r="F297" s="28" t="str">
        <f aca="false">IF(OR(C297="",D297=""),"",IFERROR(C297-INDEX(Listas!$B$5:$B$30,MATCH(D297,Listas!$A$5:$A$30,0)),""))</f>
        <v/>
      </c>
      <c r="G297" s="26"/>
      <c r="H297" s="29" t="str">
        <f aca="true">IF(OR(A297="",F297="",G297="Concluído"),"",F297-TODAY())</f>
        <v/>
      </c>
      <c r="I297" s="30" t="str">
        <f aca="false">IF(A297="","",IF(G297="Concluído","✅ Concluído",IF(F297="","⚪ Sem prazo",IF(H297&lt;0,"🔴 COBRAR · "&amp;-H297&amp;" dia(s) atrasado",IF(H297=0,"🟠 Vence HOJE",IF(H297&lt;=3,"🟠 Vence em "&amp;H297&amp;" dia(s)","🟢 No prazo"))))))</f>
        <v/>
      </c>
      <c r="J297" s="27"/>
      <c r="K297" s="26"/>
      <c r="L297" s="30" t="str">
        <f aca="true">IF(OR(A297="",G297="Concluído",F297=""),"",IF(F297&lt;=TODAY()+3,F297+ROW()/1000000,""))</f>
        <v/>
      </c>
    </row>
    <row r="298" customFormat="false" ht="15" hidden="false" customHeight="false" outlineLevel="0" collapsed="false">
      <c r="A298" s="26"/>
      <c r="B298" s="26"/>
      <c r="C298" s="27"/>
      <c r="D298" s="26"/>
      <c r="E298" s="26"/>
      <c r="F298" s="28" t="str">
        <f aca="false">IF(OR(C298="",D298=""),"",IFERROR(C298-INDEX(Listas!$B$5:$B$30,MATCH(D298,Listas!$A$5:$A$30,0)),""))</f>
        <v/>
      </c>
      <c r="G298" s="26"/>
      <c r="H298" s="29" t="str">
        <f aca="true">IF(OR(A298="",F298="",G298="Concluído"),"",F298-TODAY())</f>
        <v/>
      </c>
      <c r="I298" s="30" t="str">
        <f aca="false">IF(A298="","",IF(G298="Concluído","✅ Concluído",IF(F298="","⚪ Sem prazo",IF(H298&lt;0,"🔴 COBRAR · "&amp;-H298&amp;" dia(s) atrasado",IF(H298=0,"🟠 Vence HOJE",IF(H298&lt;=3,"🟠 Vence em "&amp;H298&amp;" dia(s)","🟢 No prazo"))))))</f>
        <v/>
      </c>
      <c r="J298" s="27"/>
      <c r="K298" s="26"/>
      <c r="L298" s="30" t="str">
        <f aca="true">IF(OR(A298="",G298="Concluído",F298=""),"",IF(F298&lt;=TODAY()+3,F298+ROW()/1000000,""))</f>
        <v/>
      </c>
    </row>
    <row r="299" customFormat="false" ht="15" hidden="false" customHeight="false" outlineLevel="0" collapsed="false">
      <c r="A299" s="26"/>
      <c r="B299" s="26"/>
      <c r="C299" s="27"/>
      <c r="D299" s="26"/>
      <c r="E299" s="26"/>
      <c r="F299" s="28" t="str">
        <f aca="false">IF(OR(C299="",D299=""),"",IFERROR(C299-INDEX(Listas!$B$5:$B$30,MATCH(D299,Listas!$A$5:$A$30,0)),""))</f>
        <v/>
      </c>
      <c r="G299" s="26"/>
      <c r="H299" s="29" t="str">
        <f aca="true">IF(OR(A299="",F299="",G299="Concluído"),"",F299-TODAY())</f>
        <v/>
      </c>
      <c r="I299" s="30" t="str">
        <f aca="false">IF(A299="","",IF(G299="Concluído","✅ Concluído",IF(F299="","⚪ Sem prazo",IF(H299&lt;0,"🔴 COBRAR · "&amp;-H299&amp;" dia(s) atrasado",IF(H299=0,"🟠 Vence HOJE",IF(H299&lt;=3,"🟠 Vence em "&amp;H299&amp;" dia(s)","🟢 No prazo"))))))</f>
        <v/>
      </c>
      <c r="J299" s="27"/>
      <c r="K299" s="26"/>
      <c r="L299" s="30" t="str">
        <f aca="true">IF(OR(A299="",G299="Concluído",F299=""),"",IF(F299&lt;=TODAY()+3,F299+ROW()/1000000,""))</f>
        <v/>
      </c>
    </row>
    <row r="300" customFormat="false" ht="15" hidden="false" customHeight="false" outlineLevel="0" collapsed="false">
      <c r="A300" s="26"/>
      <c r="B300" s="26"/>
      <c r="C300" s="27"/>
      <c r="D300" s="26"/>
      <c r="E300" s="26"/>
      <c r="F300" s="28" t="str">
        <f aca="false">IF(OR(C300="",D300=""),"",IFERROR(C300-INDEX(Listas!$B$5:$B$30,MATCH(D300,Listas!$A$5:$A$30,0)),""))</f>
        <v/>
      </c>
      <c r="G300" s="26"/>
      <c r="H300" s="29" t="str">
        <f aca="true">IF(OR(A300="",F300="",G300="Concluído"),"",F300-TODAY())</f>
        <v/>
      </c>
      <c r="I300" s="30" t="str">
        <f aca="false">IF(A300="","",IF(G300="Concluído","✅ Concluído",IF(F300="","⚪ Sem prazo",IF(H300&lt;0,"🔴 COBRAR · "&amp;-H300&amp;" dia(s) atrasado",IF(H300=0,"🟠 Vence HOJE",IF(H300&lt;=3,"🟠 Vence em "&amp;H300&amp;" dia(s)","🟢 No prazo"))))))</f>
        <v/>
      </c>
      <c r="J300" s="27"/>
      <c r="K300" s="26"/>
      <c r="L300" s="30" t="str">
        <f aca="true">IF(OR(A300="",G300="Concluído",F300=""),"",IF(F300&lt;=TODAY()+3,F300+ROW()/1000000,""))</f>
        <v/>
      </c>
    </row>
    <row r="301" customFormat="false" ht="15" hidden="false" customHeight="false" outlineLevel="0" collapsed="false">
      <c r="A301" s="26"/>
      <c r="B301" s="26"/>
      <c r="C301" s="27"/>
      <c r="D301" s="26"/>
      <c r="E301" s="26"/>
      <c r="F301" s="28" t="str">
        <f aca="false">IF(OR(C301="",D301=""),"",IFERROR(C301-INDEX(Listas!$B$5:$B$30,MATCH(D301,Listas!$A$5:$A$30,0)),""))</f>
        <v/>
      </c>
      <c r="G301" s="26"/>
      <c r="H301" s="29" t="str">
        <f aca="true">IF(OR(A301="",F301="",G301="Concluído"),"",F301-TODAY())</f>
        <v/>
      </c>
      <c r="I301" s="30" t="str">
        <f aca="false">IF(A301="","",IF(G301="Concluído","✅ Concluído",IF(F301="","⚪ Sem prazo",IF(H301&lt;0,"🔴 COBRAR · "&amp;-H301&amp;" dia(s) atrasado",IF(H301=0,"🟠 Vence HOJE",IF(H301&lt;=3,"🟠 Vence em "&amp;H301&amp;" dia(s)","🟢 No prazo"))))))</f>
        <v/>
      </c>
      <c r="J301" s="27"/>
      <c r="K301" s="26"/>
      <c r="L301" s="30" t="str">
        <f aca="true">IF(OR(A301="",G301="Concluído",F301=""),"",IF(F301&lt;=TODAY()+3,F301+ROW()/1000000,""))</f>
        <v/>
      </c>
    </row>
    <row r="302" customFormat="false" ht="15" hidden="false" customHeight="false" outlineLevel="0" collapsed="false">
      <c r="A302" s="26"/>
      <c r="B302" s="26"/>
      <c r="C302" s="27"/>
      <c r="D302" s="26"/>
      <c r="E302" s="26"/>
      <c r="F302" s="28" t="str">
        <f aca="false">IF(OR(C302="",D302=""),"",IFERROR(C302-INDEX(Listas!$B$5:$B$30,MATCH(D302,Listas!$A$5:$A$30,0)),""))</f>
        <v/>
      </c>
      <c r="G302" s="26"/>
      <c r="H302" s="29" t="str">
        <f aca="true">IF(OR(A302="",F302="",G302="Concluído"),"",F302-TODAY())</f>
        <v/>
      </c>
      <c r="I302" s="30" t="str">
        <f aca="false">IF(A302="","",IF(G302="Concluído","✅ Concluído",IF(F302="","⚪ Sem prazo",IF(H302&lt;0,"🔴 COBRAR · "&amp;-H302&amp;" dia(s) atrasado",IF(H302=0,"🟠 Vence HOJE",IF(H302&lt;=3,"🟠 Vence em "&amp;H302&amp;" dia(s)","🟢 No prazo"))))))</f>
        <v/>
      </c>
      <c r="J302" s="27"/>
      <c r="K302" s="26"/>
      <c r="L302" s="30" t="str">
        <f aca="true">IF(OR(A302="",G302="Concluído",F302=""),"",IF(F302&lt;=TODAY()+3,F302+ROW()/1000000,""))</f>
        <v/>
      </c>
    </row>
    <row r="303" customFormat="false" ht="15" hidden="false" customHeight="false" outlineLevel="0" collapsed="false">
      <c r="A303" s="26"/>
      <c r="B303" s="26"/>
      <c r="C303" s="27"/>
      <c r="D303" s="26"/>
      <c r="E303" s="26"/>
      <c r="F303" s="28" t="str">
        <f aca="false">IF(OR(C303="",D303=""),"",IFERROR(C303-INDEX(Listas!$B$5:$B$30,MATCH(D303,Listas!$A$5:$A$30,0)),""))</f>
        <v/>
      </c>
      <c r="G303" s="26"/>
      <c r="H303" s="29" t="str">
        <f aca="true">IF(OR(A303="",F303="",G303="Concluído"),"",F303-TODAY())</f>
        <v/>
      </c>
      <c r="I303" s="30" t="str">
        <f aca="false">IF(A303="","",IF(G303="Concluído","✅ Concluído",IF(F303="","⚪ Sem prazo",IF(H303&lt;0,"🔴 COBRAR · "&amp;-H303&amp;" dia(s) atrasado",IF(H303=0,"🟠 Vence HOJE",IF(H303&lt;=3,"🟠 Vence em "&amp;H303&amp;" dia(s)","🟢 No prazo"))))))</f>
        <v/>
      </c>
      <c r="J303" s="27"/>
      <c r="K303" s="26"/>
      <c r="L303" s="30" t="str">
        <f aca="true">IF(OR(A303="",G303="Concluído",F303=""),"",IF(F303&lt;=TODAY()+3,F303+ROW()/1000000,""))</f>
        <v/>
      </c>
    </row>
    <row r="304" customFormat="false" ht="15" hidden="false" customHeight="false" outlineLevel="0" collapsed="false">
      <c r="A304" s="26"/>
      <c r="B304" s="26"/>
      <c r="C304" s="27"/>
      <c r="D304" s="26"/>
      <c r="E304" s="26"/>
      <c r="F304" s="28" t="str">
        <f aca="false">IF(OR(C304="",D304=""),"",IFERROR(C304-INDEX(Listas!$B$5:$B$30,MATCH(D304,Listas!$A$5:$A$30,0)),""))</f>
        <v/>
      </c>
      <c r="G304" s="26"/>
      <c r="H304" s="29" t="str">
        <f aca="true">IF(OR(A304="",F304="",G304="Concluído"),"",F304-TODAY())</f>
        <v/>
      </c>
      <c r="I304" s="30" t="str">
        <f aca="false">IF(A304="","",IF(G304="Concluído","✅ Concluído",IF(F304="","⚪ Sem prazo",IF(H304&lt;0,"🔴 COBRAR · "&amp;-H304&amp;" dia(s) atrasado",IF(H304=0,"🟠 Vence HOJE",IF(H304&lt;=3,"🟠 Vence em "&amp;H304&amp;" dia(s)","🟢 No prazo"))))))</f>
        <v/>
      </c>
      <c r="J304" s="27"/>
      <c r="K304" s="26"/>
      <c r="L304" s="30" t="str">
        <f aca="true">IF(OR(A304="",G304="Concluído",F304=""),"",IF(F304&lt;=TODAY()+3,F304+ROW()/1000000,""))</f>
        <v/>
      </c>
    </row>
    <row r="305" customFormat="false" ht="15" hidden="false" customHeight="false" outlineLevel="0" collapsed="false">
      <c r="A305" s="26"/>
      <c r="B305" s="26"/>
      <c r="C305" s="27"/>
      <c r="D305" s="26"/>
      <c r="E305" s="26"/>
      <c r="F305" s="28" t="str">
        <f aca="false">IF(OR(C305="",D305=""),"",IFERROR(C305-INDEX(Listas!$B$5:$B$30,MATCH(D305,Listas!$A$5:$A$30,0)),""))</f>
        <v/>
      </c>
      <c r="G305" s="26"/>
      <c r="H305" s="29" t="str">
        <f aca="true">IF(OR(A305="",F305="",G305="Concluído"),"",F305-TODAY())</f>
        <v/>
      </c>
      <c r="I305" s="30" t="str">
        <f aca="false">IF(A305="","",IF(G305="Concluído","✅ Concluído",IF(F305="","⚪ Sem prazo",IF(H305&lt;0,"🔴 COBRAR · "&amp;-H305&amp;" dia(s) atrasado",IF(H305=0,"🟠 Vence HOJE",IF(H305&lt;=3,"🟠 Vence em "&amp;H305&amp;" dia(s)","🟢 No prazo"))))))</f>
        <v/>
      </c>
      <c r="J305" s="27"/>
      <c r="K305" s="26"/>
      <c r="L305" s="30" t="str">
        <f aca="true">IF(OR(A305="",G305="Concluído",F305=""),"",IF(F305&lt;=TODAY()+3,F305+ROW()/1000000,""))</f>
        <v/>
      </c>
    </row>
    <row r="306" customFormat="false" ht="15" hidden="false" customHeight="false" outlineLevel="0" collapsed="false">
      <c r="A306" s="26"/>
      <c r="B306" s="26"/>
      <c r="C306" s="27"/>
      <c r="D306" s="26"/>
      <c r="E306" s="26"/>
      <c r="F306" s="28" t="str">
        <f aca="false">IF(OR(C306="",D306=""),"",IFERROR(C306-INDEX(Listas!$B$5:$B$30,MATCH(D306,Listas!$A$5:$A$30,0)),""))</f>
        <v/>
      </c>
      <c r="G306" s="26"/>
      <c r="H306" s="29" t="str">
        <f aca="true">IF(OR(A306="",F306="",G306="Concluído"),"",F306-TODAY())</f>
        <v/>
      </c>
      <c r="I306" s="30" t="str">
        <f aca="false">IF(A306="","",IF(G306="Concluído","✅ Concluído",IF(F306="","⚪ Sem prazo",IF(H306&lt;0,"🔴 COBRAR · "&amp;-H306&amp;" dia(s) atrasado",IF(H306=0,"🟠 Vence HOJE",IF(H306&lt;=3,"🟠 Vence em "&amp;H306&amp;" dia(s)","🟢 No prazo"))))))</f>
        <v/>
      </c>
      <c r="J306" s="27"/>
      <c r="K306" s="26"/>
      <c r="L306" s="30" t="str">
        <f aca="true">IF(OR(A306="",G306="Concluído",F306=""),"",IF(F306&lt;=TODAY()+3,F306+ROW()/1000000,""))</f>
        <v/>
      </c>
    </row>
    <row r="307" customFormat="false" ht="15" hidden="false" customHeight="false" outlineLevel="0" collapsed="false">
      <c r="A307" s="26"/>
      <c r="B307" s="26"/>
      <c r="C307" s="27"/>
      <c r="D307" s="26"/>
      <c r="E307" s="26"/>
      <c r="F307" s="28" t="str">
        <f aca="false">IF(OR(C307="",D307=""),"",IFERROR(C307-INDEX(Listas!$B$5:$B$30,MATCH(D307,Listas!$A$5:$A$30,0)),""))</f>
        <v/>
      </c>
      <c r="G307" s="26"/>
      <c r="H307" s="29" t="str">
        <f aca="true">IF(OR(A307="",F307="",G307="Concluído"),"",F307-TODAY())</f>
        <v/>
      </c>
      <c r="I307" s="30" t="str">
        <f aca="false">IF(A307="","",IF(G307="Concluído","✅ Concluído",IF(F307="","⚪ Sem prazo",IF(H307&lt;0,"🔴 COBRAR · "&amp;-H307&amp;" dia(s) atrasado",IF(H307=0,"🟠 Vence HOJE",IF(H307&lt;=3,"🟠 Vence em "&amp;H307&amp;" dia(s)","🟢 No prazo"))))))</f>
        <v/>
      </c>
      <c r="J307" s="27"/>
      <c r="K307" s="26"/>
      <c r="L307" s="30" t="str">
        <f aca="true">IF(OR(A307="",G307="Concluído",F307=""),"",IF(F307&lt;=TODAY()+3,F307+ROW()/1000000,""))</f>
        <v/>
      </c>
    </row>
    <row r="308" customFormat="false" ht="15" hidden="false" customHeight="false" outlineLevel="0" collapsed="false">
      <c r="A308" s="26"/>
      <c r="B308" s="26"/>
      <c r="C308" s="27"/>
      <c r="D308" s="26"/>
      <c r="E308" s="26"/>
      <c r="F308" s="28" t="str">
        <f aca="false">IF(OR(C308="",D308=""),"",IFERROR(C308-INDEX(Listas!$B$5:$B$30,MATCH(D308,Listas!$A$5:$A$30,0)),""))</f>
        <v/>
      </c>
      <c r="G308" s="26"/>
      <c r="H308" s="29" t="str">
        <f aca="true">IF(OR(A308="",F308="",G308="Concluído"),"",F308-TODAY())</f>
        <v/>
      </c>
      <c r="I308" s="30" t="str">
        <f aca="false">IF(A308="","",IF(G308="Concluído","✅ Concluído",IF(F308="","⚪ Sem prazo",IF(H308&lt;0,"🔴 COBRAR · "&amp;-H308&amp;" dia(s) atrasado",IF(H308=0,"🟠 Vence HOJE",IF(H308&lt;=3,"🟠 Vence em "&amp;H308&amp;" dia(s)","🟢 No prazo"))))))</f>
        <v/>
      </c>
      <c r="J308" s="27"/>
      <c r="K308" s="26"/>
      <c r="L308" s="30" t="str">
        <f aca="true">IF(OR(A308="",G308="Concluído",F308=""),"",IF(F308&lt;=TODAY()+3,F308+ROW()/1000000,""))</f>
        <v/>
      </c>
    </row>
    <row r="309" customFormat="false" ht="15" hidden="false" customHeight="false" outlineLevel="0" collapsed="false">
      <c r="A309" s="26"/>
      <c r="B309" s="26"/>
      <c r="C309" s="27"/>
      <c r="D309" s="26"/>
      <c r="E309" s="26"/>
      <c r="F309" s="28" t="str">
        <f aca="false">IF(OR(C309="",D309=""),"",IFERROR(C309-INDEX(Listas!$B$5:$B$30,MATCH(D309,Listas!$A$5:$A$30,0)),""))</f>
        <v/>
      </c>
      <c r="G309" s="26"/>
      <c r="H309" s="29" t="str">
        <f aca="true">IF(OR(A309="",F309="",G309="Concluído"),"",F309-TODAY())</f>
        <v/>
      </c>
      <c r="I309" s="30" t="str">
        <f aca="false">IF(A309="","",IF(G309="Concluído","✅ Concluído",IF(F309="","⚪ Sem prazo",IF(H309&lt;0,"🔴 COBRAR · "&amp;-H309&amp;" dia(s) atrasado",IF(H309=0,"🟠 Vence HOJE",IF(H309&lt;=3,"🟠 Vence em "&amp;H309&amp;" dia(s)","🟢 No prazo"))))))</f>
        <v/>
      </c>
      <c r="J309" s="27"/>
      <c r="K309" s="26"/>
      <c r="L309" s="30" t="str">
        <f aca="true">IF(OR(A309="",G309="Concluído",F309=""),"",IF(F309&lt;=TODAY()+3,F309+ROW()/1000000,""))</f>
        <v/>
      </c>
    </row>
    <row r="310" customFormat="false" ht="15" hidden="false" customHeight="false" outlineLevel="0" collapsed="false">
      <c r="A310" s="26"/>
      <c r="B310" s="26"/>
      <c r="C310" s="27"/>
      <c r="D310" s="26"/>
      <c r="E310" s="26"/>
      <c r="F310" s="28" t="str">
        <f aca="false">IF(OR(C310="",D310=""),"",IFERROR(C310-INDEX(Listas!$B$5:$B$30,MATCH(D310,Listas!$A$5:$A$30,0)),""))</f>
        <v/>
      </c>
      <c r="G310" s="26"/>
      <c r="H310" s="29" t="str">
        <f aca="true">IF(OR(A310="",F310="",G310="Concluído"),"",F310-TODAY())</f>
        <v/>
      </c>
      <c r="I310" s="30" t="str">
        <f aca="false">IF(A310="","",IF(G310="Concluído","✅ Concluído",IF(F310="","⚪ Sem prazo",IF(H310&lt;0,"🔴 COBRAR · "&amp;-H310&amp;" dia(s) atrasado",IF(H310=0,"🟠 Vence HOJE",IF(H310&lt;=3,"🟠 Vence em "&amp;H310&amp;" dia(s)","🟢 No prazo"))))))</f>
        <v/>
      </c>
      <c r="J310" s="27"/>
      <c r="K310" s="26"/>
      <c r="L310" s="30" t="str">
        <f aca="true">IF(OR(A310="",G310="Concluído",F310=""),"",IF(F310&lt;=TODAY()+3,F310+ROW()/1000000,""))</f>
        <v/>
      </c>
    </row>
    <row r="311" customFormat="false" ht="15" hidden="false" customHeight="false" outlineLevel="0" collapsed="false">
      <c r="A311" s="26"/>
      <c r="B311" s="26"/>
      <c r="C311" s="27"/>
      <c r="D311" s="26"/>
      <c r="E311" s="26"/>
      <c r="F311" s="28" t="str">
        <f aca="false">IF(OR(C311="",D311=""),"",IFERROR(C311-INDEX(Listas!$B$5:$B$30,MATCH(D311,Listas!$A$5:$A$30,0)),""))</f>
        <v/>
      </c>
      <c r="G311" s="26"/>
      <c r="H311" s="29" t="str">
        <f aca="true">IF(OR(A311="",F311="",G311="Concluído"),"",F311-TODAY())</f>
        <v/>
      </c>
      <c r="I311" s="30" t="str">
        <f aca="false">IF(A311="","",IF(G311="Concluído","✅ Concluído",IF(F311="","⚪ Sem prazo",IF(H311&lt;0,"🔴 COBRAR · "&amp;-H311&amp;" dia(s) atrasado",IF(H311=0,"🟠 Vence HOJE",IF(H311&lt;=3,"🟠 Vence em "&amp;H311&amp;" dia(s)","🟢 No prazo"))))))</f>
        <v/>
      </c>
      <c r="J311" s="27"/>
      <c r="K311" s="26"/>
      <c r="L311" s="30" t="str">
        <f aca="true">IF(OR(A311="",G311="Concluído",F311=""),"",IF(F311&lt;=TODAY()+3,F311+ROW()/1000000,""))</f>
        <v/>
      </c>
    </row>
    <row r="312" customFormat="false" ht="15" hidden="false" customHeight="false" outlineLevel="0" collapsed="false">
      <c r="A312" s="26"/>
      <c r="B312" s="26"/>
      <c r="C312" s="27"/>
      <c r="D312" s="26"/>
      <c r="E312" s="26"/>
      <c r="F312" s="28" t="str">
        <f aca="false">IF(OR(C312="",D312=""),"",IFERROR(C312-INDEX(Listas!$B$5:$B$30,MATCH(D312,Listas!$A$5:$A$30,0)),""))</f>
        <v/>
      </c>
      <c r="G312" s="26"/>
      <c r="H312" s="29" t="str">
        <f aca="true">IF(OR(A312="",F312="",G312="Concluído"),"",F312-TODAY())</f>
        <v/>
      </c>
      <c r="I312" s="30" t="str">
        <f aca="false">IF(A312="","",IF(G312="Concluído","✅ Concluído",IF(F312="","⚪ Sem prazo",IF(H312&lt;0,"🔴 COBRAR · "&amp;-H312&amp;" dia(s) atrasado",IF(H312=0,"🟠 Vence HOJE",IF(H312&lt;=3,"🟠 Vence em "&amp;H312&amp;" dia(s)","🟢 No prazo"))))))</f>
        <v/>
      </c>
      <c r="J312" s="27"/>
      <c r="K312" s="26"/>
      <c r="L312" s="30" t="str">
        <f aca="true">IF(OR(A312="",G312="Concluído",F312=""),"",IF(F312&lt;=TODAY()+3,F312+ROW()/1000000,""))</f>
        <v/>
      </c>
    </row>
    <row r="313" customFormat="false" ht="15" hidden="false" customHeight="false" outlineLevel="0" collapsed="false">
      <c r="A313" s="26"/>
      <c r="B313" s="26"/>
      <c r="C313" s="27"/>
      <c r="D313" s="26"/>
      <c r="E313" s="26"/>
      <c r="F313" s="28" t="str">
        <f aca="false">IF(OR(C313="",D313=""),"",IFERROR(C313-INDEX(Listas!$B$5:$B$30,MATCH(D313,Listas!$A$5:$A$30,0)),""))</f>
        <v/>
      </c>
      <c r="G313" s="26"/>
      <c r="H313" s="29" t="str">
        <f aca="true">IF(OR(A313="",F313="",G313="Concluído"),"",F313-TODAY())</f>
        <v/>
      </c>
      <c r="I313" s="30" t="str">
        <f aca="false">IF(A313="","",IF(G313="Concluído","✅ Concluído",IF(F313="","⚪ Sem prazo",IF(H313&lt;0,"🔴 COBRAR · "&amp;-H313&amp;" dia(s) atrasado",IF(H313=0,"🟠 Vence HOJE",IF(H313&lt;=3,"🟠 Vence em "&amp;H313&amp;" dia(s)","🟢 No prazo"))))))</f>
        <v/>
      </c>
      <c r="J313" s="27"/>
      <c r="K313" s="26"/>
      <c r="L313" s="30" t="str">
        <f aca="true">IF(OR(A313="",G313="Concluído",F313=""),"",IF(F313&lt;=TODAY()+3,F313+ROW()/1000000,""))</f>
        <v/>
      </c>
    </row>
    <row r="314" customFormat="false" ht="15" hidden="false" customHeight="false" outlineLevel="0" collapsed="false">
      <c r="A314" s="26"/>
      <c r="B314" s="26"/>
      <c r="C314" s="27"/>
      <c r="D314" s="26"/>
      <c r="E314" s="26"/>
      <c r="F314" s="28" t="str">
        <f aca="false">IF(OR(C314="",D314=""),"",IFERROR(C314-INDEX(Listas!$B$5:$B$30,MATCH(D314,Listas!$A$5:$A$30,0)),""))</f>
        <v/>
      </c>
      <c r="G314" s="26"/>
      <c r="H314" s="29" t="str">
        <f aca="true">IF(OR(A314="",F314="",G314="Concluído"),"",F314-TODAY())</f>
        <v/>
      </c>
      <c r="I314" s="30" t="str">
        <f aca="false">IF(A314="","",IF(G314="Concluído","✅ Concluído",IF(F314="","⚪ Sem prazo",IF(H314&lt;0,"🔴 COBRAR · "&amp;-H314&amp;" dia(s) atrasado",IF(H314=0,"🟠 Vence HOJE",IF(H314&lt;=3,"🟠 Vence em "&amp;H314&amp;" dia(s)","🟢 No prazo"))))))</f>
        <v/>
      </c>
      <c r="J314" s="27"/>
      <c r="K314" s="26"/>
      <c r="L314" s="30" t="str">
        <f aca="true">IF(OR(A314="",G314="Concluído",F314=""),"",IF(F314&lt;=TODAY()+3,F314+ROW()/1000000,""))</f>
        <v/>
      </c>
    </row>
    <row r="315" customFormat="false" ht="15" hidden="false" customHeight="false" outlineLevel="0" collapsed="false">
      <c r="A315" s="26"/>
      <c r="B315" s="26"/>
      <c r="C315" s="27"/>
      <c r="D315" s="26"/>
      <c r="E315" s="26"/>
      <c r="F315" s="28" t="str">
        <f aca="false">IF(OR(C315="",D315=""),"",IFERROR(C315-INDEX(Listas!$B$5:$B$30,MATCH(D315,Listas!$A$5:$A$30,0)),""))</f>
        <v/>
      </c>
      <c r="G315" s="26"/>
      <c r="H315" s="29" t="str">
        <f aca="true">IF(OR(A315="",F315="",G315="Concluído"),"",F315-TODAY())</f>
        <v/>
      </c>
      <c r="I315" s="30" t="str">
        <f aca="false">IF(A315="","",IF(G315="Concluído","✅ Concluído",IF(F315="","⚪ Sem prazo",IF(H315&lt;0,"🔴 COBRAR · "&amp;-H315&amp;" dia(s) atrasado",IF(H315=0,"🟠 Vence HOJE",IF(H315&lt;=3,"🟠 Vence em "&amp;H315&amp;" dia(s)","🟢 No prazo"))))))</f>
        <v/>
      </c>
      <c r="J315" s="27"/>
      <c r="K315" s="26"/>
      <c r="L315" s="30" t="str">
        <f aca="true">IF(OR(A315="",G315="Concluído",F315=""),"",IF(F315&lt;=TODAY()+3,F315+ROW()/1000000,""))</f>
        <v/>
      </c>
    </row>
    <row r="316" customFormat="false" ht="15" hidden="false" customHeight="false" outlineLevel="0" collapsed="false">
      <c r="A316" s="26"/>
      <c r="B316" s="26"/>
      <c r="C316" s="27"/>
      <c r="D316" s="26"/>
      <c r="E316" s="26"/>
      <c r="F316" s="28" t="str">
        <f aca="false">IF(OR(C316="",D316=""),"",IFERROR(C316-INDEX(Listas!$B$5:$B$30,MATCH(D316,Listas!$A$5:$A$30,0)),""))</f>
        <v/>
      </c>
      <c r="G316" s="26"/>
      <c r="H316" s="29" t="str">
        <f aca="true">IF(OR(A316="",F316="",G316="Concluído"),"",F316-TODAY())</f>
        <v/>
      </c>
      <c r="I316" s="30" t="str">
        <f aca="false">IF(A316="","",IF(G316="Concluído","✅ Concluído",IF(F316="","⚪ Sem prazo",IF(H316&lt;0,"🔴 COBRAR · "&amp;-H316&amp;" dia(s) atrasado",IF(H316=0,"🟠 Vence HOJE",IF(H316&lt;=3,"🟠 Vence em "&amp;H316&amp;" dia(s)","🟢 No prazo"))))))</f>
        <v/>
      </c>
      <c r="J316" s="27"/>
      <c r="K316" s="26"/>
      <c r="L316" s="30" t="str">
        <f aca="true">IF(OR(A316="",G316="Concluído",F316=""),"",IF(F316&lt;=TODAY()+3,F316+ROW()/1000000,""))</f>
        <v/>
      </c>
    </row>
    <row r="317" customFormat="false" ht="15" hidden="false" customHeight="false" outlineLevel="0" collapsed="false">
      <c r="A317" s="26"/>
      <c r="B317" s="26"/>
      <c r="C317" s="27"/>
      <c r="D317" s="26"/>
      <c r="E317" s="26"/>
      <c r="F317" s="28" t="str">
        <f aca="false">IF(OR(C317="",D317=""),"",IFERROR(C317-INDEX(Listas!$B$5:$B$30,MATCH(D317,Listas!$A$5:$A$30,0)),""))</f>
        <v/>
      </c>
      <c r="G317" s="26"/>
      <c r="H317" s="29" t="str">
        <f aca="true">IF(OR(A317="",F317="",G317="Concluído"),"",F317-TODAY())</f>
        <v/>
      </c>
      <c r="I317" s="30" t="str">
        <f aca="false">IF(A317="","",IF(G317="Concluído","✅ Concluído",IF(F317="","⚪ Sem prazo",IF(H317&lt;0,"🔴 COBRAR · "&amp;-H317&amp;" dia(s) atrasado",IF(H317=0,"🟠 Vence HOJE",IF(H317&lt;=3,"🟠 Vence em "&amp;H317&amp;" dia(s)","🟢 No prazo"))))))</f>
        <v/>
      </c>
      <c r="J317" s="27"/>
      <c r="K317" s="26"/>
      <c r="L317" s="30" t="str">
        <f aca="true">IF(OR(A317="",G317="Concluído",F317=""),"",IF(F317&lt;=TODAY()+3,F317+ROW()/1000000,""))</f>
        <v/>
      </c>
    </row>
    <row r="318" customFormat="false" ht="15" hidden="false" customHeight="false" outlineLevel="0" collapsed="false">
      <c r="A318" s="26"/>
      <c r="B318" s="26"/>
      <c r="C318" s="27"/>
      <c r="D318" s="26"/>
      <c r="E318" s="26"/>
      <c r="F318" s="28" t="str">
        <f aca="false">IF(OR(C318="",D318=""),"",IFERROR(C318-INDEX(Listas!$B$5:$B$30,MATCH(D318,Listas!$A$5:$A$30,0)),""))</f>
        <v/>
      </c>
      <c r="G318" s="26"/>
      <c r="H318" s="29" t="str">
        <f aca="true">IF(OR(A318="",F318="",G318="Concluído"),"",F318-TODAY())</f>
        <v/>
      </c>
      <c r="I318" s="30" t="str">
        <f aca="false">IF(A318="","",IF(G318="Concluído","✅ Concluído",IF(F318="","⚪ Sem prazo",IF(H318&lt;0,"🔴 COBRAR · "&amp;-H318&amp;" dia(s) atrasado",IF(H318=0,"🟠 Vence HOJE",IF(H318&lt;=3,"🟠 Vence em "&amp;H318&amp;" dia(s)","🟢 No prazo"))))))</f>
        <v/>
      </c>
      <c r="J318" s="27"/>
      <c r="K318" s="26"/>
      <c r="L318" s="30" t="str">
        <f aca="true">IF(OR(A318="",G318="Concluído",F318=""),"",IF(F318&lt;=TODAY()+3,F318+ROW()/1000000,""))</f>
        <v/>
      </c>
    </row>
    <row r="319" customFormat="false" ht="15" hidden="false" customHeight="false" outlineLevel="0" collapsed="false">
      <c r="A319" s="26"/>
      <c r="B319" s="26"/>
      <c r="C319" s="27"/>
      <c r="D319" s="26"/>
      <c r="E319" s="26"/>
      <c r="F319" s="28" t="str">
        <f aca="false">IF(OR(C319="",D319=""),"",IFERROR(C319-INDEX(Listas!$B$5:$B$30,MATCH(D319,Listas!$A$5:$A$30,0)),""))</f>
        <v/>
      </c>
      <c r="G319" s="26"/>
      <c r="H319" s="29" t="str">
        <f aca="true">IF(OR(A319="",F319="",G319="Concluído"),"",F319-TODAY())</f>
        <v/>
      </c>
      <c r="I319" s="30" t="str">
        <f aca="false">IF(A319="","",IF(G319="Concluído","✅ Concluído",IF(F319="","⚪ Sem prazo",IF(H319&lt;0,"🔴 COBRAR · "&amp;-H319&amp;" dia(s) atrasado",IF(H319=0,"🟠 Vence HOJE",IF(H319&lt;=3,"🟠 Vence em "&amp;H319&amp;" dia(s)","🟢 No prazo"))))))</f>
        <v/>
      </c>
      <c r="J319" s="27"/>
      <c r="K319" s="26"/>
      <c r="L319" s="30" t="str">
        <f aca="true">IF(OR(A319="",G319="Concluído",F319=""),"",IF(F319&lt;=TODAY()+3,F319+ROW()/1000000,""))</f>
        <v/>
      </c>
    </row>
    <row r="320" customFormat="false" ht="15" hidden="false" customHeight="false" outlineLevel="0" collapsed="false">
      <c r="A320" s="26"/>
      <c r="B320" s="26"/>
      <c r="C320" s="27"/>
      <c r="D320" s="26"/>
      <c r="E320" s="26"/>
      <c r="F320" s="28" t="str">
        <f aca="false">IF(OR(C320="",D320=""),"",IFERROR(C320-INDEX(Listas!$B$5:$B$30,MATCH(D320,Listas!$A$5:$A$30,0)),""))</f>
        <v/>
      </c>
      <c r="G320" s="26"/>
      <c r="H320" s="29" t="str">
        <f aca="true">IF(OR(A320="",F320="",G320="Concluído"),"",F320-TODAY())</f>
        <v/>
      </c>
      <c r="I320" s="30" t="str">
        <f aca="false">IF(A320="","",IF(G320="Concluído","✅ Concluído",IF(F320="","⚪ Sem prazo",IF(H320&lt;0,"🔴 COBRAR · "&amp;-H320&amp;" dia(s) atrasado",IF(H320=0,"🟠 Vence HOJE",IF(H320&lt;=3,"🟠 Vence em "&amp;H320&amp;" dia(s)","🟢 No prazo"))))))</f>
        <v/>
      </c>
      <c r="J320" s="27"/>
      <c r="K320" s="26"/>
      <c r="L320" s="30" t="str">
        <f aca="true">IF(OR(A320="",G320="Concluído",F320=""),"",IF(F320&lt;=TODAY()+3,F320+ROW()/1000000,""))</f>
        <v/>
      </c>
    </row>
    <row r="321" customFormat="false" ht="15" hidden="false" customHeight="false" outlineLevel="0" collapsed="false">
      <c r="A321" s="26"/>
      <c r="B321" s="26"/>
      <c r="C321" s="27"/>
      <c r="D321" s="26"/>
      <c r="E321" s="26"/>
      <c r="F321" s="28" t="str">
        <f aca="false">IF(OR(C321="",D321=""),"",IFERROR(C321-INDEX(Listas!$B$5:$B$30,MATCH(D321,Listas!$A$5:$A$30,0)),""))</f>
        <v/>
      </c>
      <c r="G321" s="26"/>
      <c r="H321" s="29" t="str">
        <f aca="true">IF(OR(A321="",F321="",G321="Concluído"),"",F321-TODAY())</f>
        <v/>
      </c>
      <c r="I321" s="30" t="str">
        <f aca="false">IF(A321="","",IF(G321="Concluído","✅ Concluído",IF(F321="","⚪ Sem prazo",IF(H321&lt;0,"🔴 COBRAR · "&amp;-H321&amp;" dia(s) atrasado",IF(H321=0,"🟠 Vence HOJE",IF(H321&lt;=3,"🟠 Vence em "&amp;H321&amp;" dia(s)","🟢 No prazo"))))))</f>
        <v/>
      </c>
      <c r="J321" s="27"/>
      <c r="K321" s="26"/>
      <c r="L321" s="30" t="str">
        <f aca="true">IF(OR(A321="",G321="Concluído",F321=""),"",IF(F321&lt;=TODAY()+3,F321+ROW()/1000000,""))</f>
        <v/>
      </c>
    </row>
    <row r="322" customFormat="false" ht="15" hidden="false" customHeight="false" outlineLevel="0" collapsed="false">
      <c r="A322" s="26"/>
      <c r="B322" s="26"/>
      <c r="C322" s="27"/>
      <c r="D322" s="26"/>
      <c r="E322" s="26"/>
      <c r="F322" s="28" t="str">
        <f aca="false">IF(OR(C322="",D322=""),"",IFERROR(C322-INDEX(Listas!$B$5:$B$30,MATCH(D322,Listas!$A$5:$A$30,0)),""))</f>
        <v/>
      </c>
      <c r="G322" s="26"/>
      <c r="H322" s="29" t="str">
        <f aca="true">IF(OR(A322="",F322="",G322="Concluído"),"",F322-TODAY())</f>
        <v/>
      </c>
      <c r="I322" s="30" t="str">
        <f aca="false">IF(A322="","",IF(G322="Concluído","✅ Concluído",IF(F322="","⚪ Sem prazo",IF(H322&lt;0,"🔴 COBRAR · "&amp;-H322&amp;" dia(s) atrasado",IF(H322=0,"🟠 Vence HOJE",IF(H322&lt;=3,"🟠 Vence em "&amp;H322&amp;" dia(s)","🟢 No prazo"))))))</f>
        <v/>
      </c>
      <c r="J322" s="27"/>
      <c r="K322" s="26"/>
      <c r="L322" s="30" t="str">
        <f aca="true">IF(OR(A322="",G322="Concluído",F322=""),"",IF(F322&lt;=TODAY()+3,F322+ROW()/1000000,""))</f>
        <v/>
      </c>
    </row>
    <row r="323" customFormat="false" ht="15" hidden="false" customHeight="false" outlineLevel="0" collapsed="false">
      <c r="A323" s="26"/>
      <c r="B323" s="26"/>
      <c r="C323" s="27"/>
      <c r="D323" s="26"/>
      <c r="E323" s="26"/>
      <c r="F323" s="28" t="str">
        <f aca="false">IF(OR(C323="",D323=""),"",IFERROR(C323-INDEX(Listas!$B$5:$B$30,MATCH(D323,Listas!$A$5:$A$30,0)),""))</f>
        <v/>
      </c>
      <c r="G323" s="26"/>
      <c r="H323" s="29" t="str">
        <f aca="true">IF(OR(A323="",F323="",G323="Concluído"),"",F323-TODAY())</f>
        <v/>
      </c>
      <c r="I323" s="30" t="str">
        <f aca="false">IF(A323="","",IF(G323="Concluído","✅ Concluído",IF(F323="","⚪ Sem prazo",IF(H323&lt;0,"🔴 COBRAR · "&amp;-H323&amp;" dia(s) atrasado",IF(H323=0,"🟠 Vence HOJE",IF(H323&lt;=3,"🟠 Vence em "&amp;H323&amp;" dia(s)","🟢 No prazo"))))))</f>
        <v/>
      </c>
      <c r="J323" s="27"/>
      <c r="K323" s="26"/>
      <c r="L323" s="30" t="str">
        <f aca="true">IF(OR(A323="",G323="Concluído",F323=""),"",IF(F323&lt;=TODAY()+3,F323+ROW()/1000000,""))</f>
        <v/>
      </c>
    </row>
    <row r="324" customFormat="false" ht="15" hidden="false" customHeight="false" outlineLevel="0" collapsed="false">
      <c r="A324" s="26"/>
      <c r="B324" s="26"/>
      <c r="C324" s="27"/>
      <c r="D324" s="26"/>
      <c r="E324" s="26"/>
      <c r="F324" s="28" t="str">
        <f aca="false">IF(OR(C324="",D324=""),"",IFERROR(C324-INDEX(Listas!$B$5:$B$30,MATCH(D324,Listas!$A$5:$A$30,0)),""))</f>
        <v/>
      </c>
      <c r="G324" s="26"/>
      <c r="H324" s="29" t="str">
        <f aca="true">IF(OR(A324="",F324="",G324="Concluído"),"",F324-TODAY())</f>
        <v/>
      </c>
      <c r="I324" s="30" t="str">
        <f aca="false">IF(A324="","",IF(G324="Concluído","✅ Concluído",IF(F324="","⚪ Sem prazo",IF(H324&lt;0,"🔴 COBRAR · "&amp;-H324&amp;" dia(s) atrasado",IF(H324=0,"🟠 Vence HOJE",IF(H324&lt;=3,"🟠 Vence em "&amp;H324&amp;" dia(s)","🟢 No prazo"))))))</f>
        <v/>
      </c>
      <c r="J324" s="27"/>
      <c r="K324" s="26"/>
      <c r="L324" s="30" t="str">
        <f aca="true">IF(OR(A324="",G324="Concluído",F324=""),"",IF(F324&lt;=TODAY()+3,F324+ROW()/1000000,""))</f>
        <v/>
      </c>
    </row>
    <row r="325" customFormat="false" ht="15" hidden="false" customHeight="false" outlineLevel="0" collapsed="false">
      <c r="A325" s="26"/>
      <c r="B325" s="26"/>
      <c r="C325" s="27"/>
      <c r="D325" s="26"/>
      <c r="E325" s="26"/>
      <c r="F325" s="28" t="str">
        <f aca="false">IF(OR(C325="",D325=""),"",IFERROR(C325-INDEX(Listas!$B$5:$B$30,MATCH(D325,Listas!$A$5:$A$30,0)),""))</f>
        <v/>
      </c>
      <c r="G325" s="26"/>
      <c r="H325" s="29" t="str">
        <f aca="true">IF(OR(A325="",F325="",G325="Concluído"),"",F325-TODAY())</f>
        <v/>
      </c>
      <c r="I325" s="30" t="str">
        <f aca="false">IF(A325="","",IF(G325="Concluído","✅ Concluído",IF(F325="","⚪ Sem prazo",IF(H325&lt;0,"🔴 COBRAR · "&amp;-H325&amp;" dia(s) atrasado",IF(H325=0,"🟠 Vence HOJE",IF(H325&lt;=3,"🟠 Vence em "&amp;H325&amp;" dia(s)","🟢 No prazo"))))))</f>
        <v/>
      </c>
      <c r="J325" s="27"/>
      <c r="K325" s="26"/>
      <c r="L325" s="30" t="str">
        <f aca="true">IF(OR(A325="",G325="Concluído",F325=""),"",IF(F325&lt;=TODAY()+3,F325+ROW()/1000000,""))</f>
        <v/>
      </c>
    </row>
    <row r="326" customFormat="false" ht="15" hidden="false" customHeight="false" outlineLevel="0" collapsed="false">
      <c r="A326" s="26"/>
      <c r="B326" s="26"/>
      <c r="C326" s="27"/>
      <c r="D326" s="26"/>
      <c r="E326" s="26"/>
      <c r="F326" s="28" t="str">
        <f aca="false">IF(OR(C326="",D326=""),"",IFERROR(C326-INDEX(Listas!$B$5:$B$30,MATCH(D326,Listas!$A$5:$A$30,0)),""))</f>
        <v/>
      </c>
      <c r="G326" s="26"/>
      <c r="H326" s="29" t="str">
        <f aca="true">IF(OR(A326="",F326="",G326="Concluído"),"",F326-TODAY())</f>
        <v/>
      </c>
      <c r="I326" s="30" t="str">
        <f aca="false">IF(A326="","",IF(G326="Concluído","✅ Concluído",IF(F326="","⚪ Sem prazo",IF(H326&lt;0,"🔴 COBRAR · "&amp;-H326&amp;" dia(s) atrasado",IF(H326=0,"🟠 Vence HOJE",IF(H326&lt;=3,"🟠 Vence em "&amp;H326&amp;" dia(s)","🟢 No prazo"))))))</f>
        <v/>
      </c>
      <c r="J326" s="27"/>
      <c r="K326" s="26"/>
      <c r="L326" s="30" t="str">
        <f aca="true">IF(OR(A326="",G326="Concluído",F326=""),"",IF(F326&lt;=TODAY()+3,F326+ROW()/1000000,""))</f>
        <v/>
      </c>
    </row>
    <row r="327" customFormat="false" ht="15" hidden="false" customHeight="false" outlineLevel="0" collapsed="false">
      <c r="A327" s="26"/>
      <c r="B327" s="26"/>
      <c r="C327" s="27"/>
      <c r="D327" s="26"/>
      <c r="E327" s="26"/>
      <c r="F327" s="28" t="str">
        <f aca="false">IF(OR(C327="",D327=""),"",IFERROR(C327-INDEX(Listas!$B$5:$B$30,MATCH(D327,Listas!$A$5:$A$30,0)),""))</f>
        <v/>
      </c>
      <c r="G327" s="26"/>
      <c r="H327" s="29" t="str">
        <f aca="true">IF(OR(A327="",F327="",G327="Concluído"),"",F327-TODAY())</f>
        <v/>
      </c>
      <c r="I327" s="30" t="str">
        <f aca="false">IF(A327="","",IF(G327="Concluído","✅ Concluído",IF(F327="","⚪ Sem prazo",IF(H327&lt;0,"🔴 COBRAR · "&amp;-H327&amp;" dia(s) atrasado",IF(H327=0,"🟠 Vence HOJE",IF(H327&lt;=3,"🟠 Vence em "&amp;H327&amp;" dia(s)","🟢 No prazo"))))))</f>
        <v/>
      </c>
      <c r="J327" s="27"/>
      <c r="K327" s="26"/>
      <c r="L327" s="30" t="str">
        <f aca="true">IF(OR(A327="",G327="Concluído",F327=""),"",IF(F327&lt;=TODAY()+3,F327+ROW()/1000000,""))</f>
        <v/>
      </c>
    </row>
    <row r="328" customFormat="false" ht="15" hidden="false" customHeight="false" outlineLevel="0" collapsed="false">
      <c r="A328" s="26"/>
      <c r="B328" s="26"/>
      <c r="C328" s="27"/>
      <c r="D328" s="26"/>
      <c r="E328" s="26"/>
      <c r="F328" s="28" t="str">
        <f aca="false">IF(OR(C328="",D328=""),"",IFERROR(C328-INDEX(Listas!$B$5:$B$30,MATCH(D328,Listas!$A$5:$A$30,0)),""))</f>
        <v/>
      </c>
      <c r="G328" s="26"/>
      <c r="H328" s="29" t="str">
        <f aca="true">IF(OR(A328="",F328="",G328="Concluído"),"",F328-TODAY())</f>
        <v/>
      </c>
      <c r="I328" s="30" t="str">
        <f aca="false">IF(A328="","",IF(G328="Concluído","✅ Concluído",IF(F328="","⚪ Sem prazo",IF(H328&lt;0,"🔴 COBRAR · "&amp;-H328&amp;" dia(s) atrasado",IF(H328=0,"🟠 Vence HOJE",IF(H328&lt;=3,"🟠 Vence em "&amp;H328&amp;" dia(s)","🟢 No prazo"))))))</f>
        <v/>
      </c>
      <c r="J328" s="27"/>
      <c r="K328" s="26"/>
      <c r="L328" s="30" t="str">
        <f aca="true">IF(OR(A328="",G328="Concluído",F328=""),"",IF(F328&lt;=TODAY()+3,F328+ROW()/1000000,""))</f>
        <v/>
      </c>
    </row>
    <row r="329" customFormat="false" ht="15" hidden="false" customHeight="false" outlineLevel="0" collapsed="false">
      <c r="A329" s="26"/>
      <c r="B329" s="26"/>
      <c r="C329" s="27"/>
      <c r="D329" s="26"/>
      <c r="E329" s="26"/>
      <c r="F329" s="28" t="str">
        <f aca="false">IF(OR(C329="",D329=""),"",IFERROR(C329-INDEX(Listas!$B$5:$B$30,MATCH(D329,Listas!$A$5:$A$30,0)),""))</f>
        <v/>
      </c>
      <c r="G329" s="26"/>
      <c r="H329" s="29" t="str">
        <f aca="true">IF(OR(A329="",F329="",G329="Concluído"),"",F329-TODAY())</f>
        <v/>
      </c>
      <c r="I329" s="30" t="str">
        <f aca="false">IF(A329="","",IF(G329="Concluído","✅ Concluído",IF(F329="","⚪ Sem prazo",IF(H329&lt;0,"🔴 COBRAR · "&amp;-H329&amp;" dia(s) atrasado",IF(H329=0,"🟠 Vence HOJE",IF(H329&lt;=3,"🟠 Vence em "&amp;H329&amp;" dia(s)","🟢 No prazo"))))))</f>
        <v/>
      </c>
      <c r="J329" s="27"/>
      <c r="K329" s="26"/>
      <c r="L329" s="30" t="str">
        <f aca="true">IF(OR(A329="",G329="Concluído",F329=""),"",IF(F329&lt;=TODAY()+3,F329+ROW()/1000000,""))</f>
        <v/>
      </c>
    </row>
    <row r="330" customFormat="false" ht="15" hidden="false" customHeight="false" outlineLevel="0" collapsed="false">
      <c r="A330" s="26"/>
      <c r="B330" s="26"/>
      <c r="C330" s="27"/>
      <c r="D330" s="26"/>
      <c r="E330" s="26"/>
      <c r="F330" s="28" t="str">
        <f aca="false">IF(OR(C330="",D330=""),"",IFERROR(C330-INDEX(Listas!$B$5:$B$30,MATCH(D330,Listas!$A$5:$A$30,0)),""))</f>
        <v/>
      </c>
      <c r="G330" s="26"/>
      <c r="H330" s="29" t="str">
        <f aca="true">IF(OR(A330="",F330="",G330="Concluído"),"",F330-TODAY())</f>
        <v/>
      </c>
      <c r="I330" s="30" t="str">
        <f aca="false">IF(A330="","",IF(G330="Concluído","✅ Concluído",IF(F330="","⚪ Sem prazo",IF(H330&lt;0,"🔴 COBRAR · "&amp;-H330&amp;" dia(s) atrasado",IF(H330=0,"🟠 Vence HOJE",IF(H330&lt;=3,"🟠 Vence em "&amp;H330&amp;" dia(s)","🟢 No prazo"))))))</f>
        <v/>
      </c>
      <c r="J330" s="27"/>
      <c r="K330" s="26"/>
      <c r="L330" s="30" t="str">
        <f aca="true">IF(OR(A330="",G330="Concluído",F330=""),"",IF(F330&lt;=TODAY()+3,F330+ROW()/1000000,""))</f>
        <v/>
      </c>
    </row>
    <row r="331" customFormat="false" ht="15" hidden="false" customHeight="false" outlineLevel="0" collapsed="false">
      <c r="A331" s="26"/>
      <c r="B331" s="26"/>
      <c r="C331" s="27"/>
      <c r="D331" s="26"/>
      <c r="E331" s="26"/>
      <c r="F331" s="28" t="str">
        <f aca="false">IF(OR(C331="",D331=""),"",IFERROR(C331-INDEX(Listas!$B$5:$B$30,MATCH(D331,Listas!$A$5:$A$30,0)),""))</f>
        <v/>
      </c>
      <c r="G331" s="26"/>
      <c r="H331" s="29" t="str">
        <f aca="true">IF(OR(A331="",F331="",G331="Concluído"),"",F331-TODAY())</f>
        <v/>
      </c>
      <c r="I331" s="30" t="str">
        <f aca="false">IF(A331="","",IF(G331="Concluído","✅ Concluído",IF(F331="","⚪ Sem prazo",IF(H331&lt;0,"🔴 COBRAR · "&amp;-H331&amp;" dia(s) atrasado",IF(H331=0,"🟠 Vence HOJE",IF(H331&lt;=3,"🟠 Vence em "&amp;H331&amp;" dia(s)","🟢 No prazo"))))))</f>
        <v/>
      </c>
      <c r="J331" s="27"/>
      <c r="K331" s="26"/>
      <c r="L331" s="30" t="str">
        <f aca="true">IF(OR(A331="",G331="Concluído",F331=""),"",IF(F331&lt;=TODAY()+3,F331+ROW()/1000000,""))</f>
        <v/>
      </c>
    </row>
    <row r="332" customFormat="false" ht="15" hidden="false" customHeight="false" outlineLevel="0" collapsed="false">
      <c r="A332" s="26"/>
      <c r="B332" s="26"/>
      <c r="C332" s="27"/>
      <c r="D332" s="26"/>
      <c r="E332" s="26"/>
      <c r="F332" s="28" t="str">
        <f aca="false">IF(OR(C332="",D332=""),"",IFERROR(C332-INDEX(Listas!$B$5:$B$30,MATCH(D332,Listas!$A$5:$A$30,0)),""))</f>
        <v/>
      </c>
      <c r="G332" s="26"/>
      <c r="H332" s="29" t="str">
        <f aca="true">IF(OR(A332="",F332="",G332="Concluído"),"",F332-TODAY())</f>
        <v/>
      </c>
      <c r="I332" s="30" t="str">
        <f aca="false">IF(A332="","",IF(G332="Concluído","✅ Concluído",IF(F332="","⚪ Sem prazo",IF(H332&lt;0,"🔴 COBRAR · "&amp;-H332&amp;" dia(s) atrasado",IF(H332=0,"🟠 Vence HOJE",IF(H332&lt;=3,"🟠 Vence em "&amp;H332&amp;" dia(s)","🟢 No prazo"))))))</f>
        <v/>
      </c>
      <c r="J332" s="27"/>
      <c r="K332" s="26"/>
      <c r="L332" s="30" t="str">
        <f aca="true">IF(OR(A332="",G332="Concluído",F332=""),"",IF(F332&lt;=TODAY()+3,F332+ROW()/1000000,""))</f>
        <v/>
      </c>
    </row>
    <row r="333" customFormat="false" ht="15" hidden="false" customHeight="false" outlineLevel="0" collapsed="false">
      <c r="A333" s="26"/>
      <c r="B333" s="26"/>
      <c r="C333" s="27"/>
      <c r="D333" s="26"/>
      <c r="E333" s="26"/>
      <c r="F333" s="28" t="str">
        <f aca="false">IF(OR(C333="",D333=""),"",IFERROR(C333-INDEX(Listas!$B$5:$B$30,MATCH(D333,Listas!$A$5:$A$30,0)),""))</f>
        <v/>
      </c>
      <c r="G333" s="26"/>
      <c r="H333" s="29" t="str">
        <f aca="true">IF(OR(A333="",F333="",G333="Concluído"),"",F333-TODAY())</f>
        <v/>
      </c>
      <c r="I333" s="30" t="str">
        <f aca="false">IF(A333="","",IF(G333="Concluído","✅ Concluído",IF(F333="","⚪ Sem prazo",IF(H333&lt;0,"🔴 COBRAR · "&amp;-H333&amp;" dia(s) atrasado",IF(H333=0,"🟠 Vence HOJE",IF(H333&lt;=3,"🟠 Vence em "&amp;H333&amp;" dia(s)","🟢 No prazo"))))))</f>
        <v/>
      </c>
      <c r="J333" s="27"/>
      <c r="K333" s="26"/>
      <c r="L333" s="30" t="str">
        <f aca="true">IF(OR(A333="",G333="Concluído",F333=""),"",IF(F333&lt;=TODAY()+3,F333+ROW()/1000000,""))</f>
        <v/>
      </c>
    </row>
    <row r="334" customFormat="false" ht="15" hidden="false" customHeight="false" outlineLevel="0" collapsed="false">
      <c r="A334" s="26"/>
      <c r="B334" s="26"/>
      <c r="C334" s="27"/>
      <c r="D334" s="26"/>
      <c r="E334" s="26"/>
      <c r="F334" s="28" t="str">
        <f aca="false">IF(OR(C334="",D334=""),"",IFERROR(C334-INDEX(Listas!$B$5:$B$30,MATCH(D334,Listas!$A$5:$A$30,0)),""))</f>
        <v/>
      </c>
      <c r="G334" s="26"/>
      <c r="H334" s="29" t="str">
        <f aca="true">IF(OR(A334="",F334="",G334="Concluído"),"",F334-TODAY())</f>
        <v/>
      </c>
      <c r="I334" s="30" t="str">
        <f aca="false">IF(A334="","",IF(G334="Concluído","✅ Concluído",IF(F334="","⚪ Sem prazo",IF(H334&lt;0,"🔴 COBRAR · "&amp;-H334&amp;" dia(s) atrasado",IF(H334=0,"🟠 Vence HOJE",IF(H334&lt;=3,"🟠 Vence em "&amp;H334&amp;" dia(s)","🟢 No prazo"))))))</f>
        <v/>
      </c>
      <c r="J334" s="27"/>
      <c r="K334" s="26"/>
      <c r="L334" s="30" t="str">
        <f aca="true">IF(OR(A334="",G334="Concluído",F334=""),"",IF(F334&lt;=TODAY()+3,F334+ROW()/1000000,""))</f>
        <v/>
      </c>
    </row>
    <row r="335" customFormat="false" ht="15" hidden="false" customHeight="false" outlineLevel="0" collapsed="false">
      <c r="A335" s="26"/>
      <c r="B335" s="26"/>
      <c r="C335" s="27"/>
      <c r="D335" s="26"/>
      <c r="E335" s="26"/>
      <c r="F335" s="28" t="str">
        <f aca="false">IF(OR(C335="",D335=""),"",IFERROR(C335-INDEX(Listas!$B$5:$B$30,MATCH(D335,Listas!$A$5:$A$30,0)),""))</f>
        <v/>
      </c>
      <c r="G335" s="26"/>
      <c r="H335" s="29" t="str">
        <f aca="true">IF(OR(A335="",F335="",G335="Concluído"),"",F335-TODAY())</f>
        <v/>
      </c>
      <c r="I335" s="30" t="str">
        <f aca="false">IF(A335="","",IF(G335="Concluído","✅ Concluído",IF(F335="","⚪ Sem prazo",IF(H335&lt;0,"🔴 COBRAR · "&amp;-H335&amp;" dia(s) atrasado",IF(H335=0,"🟠 Vence HOJE",IF(H335&lt;=3,"🟠 Vence em "&amp;H335&amp;" dia(s)","🟢 No prazo"))))))</f>
        <v/>
      </c>
      <c r="J335" s="27"/>
      <c r="K335" s="26"/>
      <c r="L335" s="30" t="str">
        <f aca="true">IF(OR(A335="",G335="Concluído",F335=""),"",IF(F335&lt;=TODAY()+3,F335+ROW()/1000000,""))</f>
        <v/>
      </c>
    </row>
    <row r="336" customFormat="false" ht="15" hidden="false" customHeight="false" outlineLevel="0" collapsed="false">
      <c r="A336" s="26"/>
      <c r="B336" s="26"/>
      <c r="C336" s="27"/>
      <c r="D336" s="26"/>
      <c r="E336" s="26"/>
      <c r="F336" s="28" t="str">
        <f aca="false">IF(OR(C336="",D336=""),"",IFERROR(C336-INDEX(Listas!$B$5:$B$30,MATCH(D336,Listas!$A$5:$A$30,0)),""))</f>
        <v/>
      </c>
      <c r="G336" s="26"/>
      <c r="H336" s="29" t="str">
        <f aca="true">IF(OR(A336="",F336="",G336="Concluído"),"",F336-TODAY())</f>
        <v/>
      </c>
      <c r="I336" s="30" t="str">
        <f aca="false">IF(A336="","",IF(G336="Concluído","✅ Concluído",IF(F336="","⚪ Sem prazo",IF(H336&lt;0,"🔴 COBRAR · "&amp;-H336&amp;" dia(s) atrasado",IF(H336=0,"🟠 Vence HOJE",IF(H336&lt;=3,"🟠 Vence em "&amp;H336&amp;" dia(s)","🟢 No prazo"))))))</f>
        <v/>
      </c>
      <c r="J336" s="27"/>
      <c r="K336" s="26"/>
      <c r="L336" s="30" t="str">
        <f aca="true">IF(OR(A336="",G336="Concluído",F336=""),"",IF(F336&lt;=TODAY()+3,F336+ROW()/1000000,""))</f>
        <v/>
      </c>
    </row>
    <row r="337" customFormat="false" ht="15" hidden="false" customHeight="false" outlineLevel="0" collapsed="false">
      <c r="A337" s="26"/>
      <c r="B337" s="26"/>
      <c r="C337" s="27"/>
      <c r="D337" s="26"/>
      <c r="E337" s="26"/>
      <c r="F337" s="28" t="str">
        <f aca="false">IF(OR(C337="",D337=""),"",IFERROR(C337-INDEX(Listas!$B$5:$B$30,MATCH(D337,Listas!$A$5:$A$30,0)),""))</f>
        <v/>
      </c>
      <c r="G337" s="26"/>
      <c r="H337" s="29" t="str">
        <f aca="true">IF(OR(A337="",F337="",G337="Concluído"),"",F337-TODAY())</f>
        <v/>
      </c>
      <c r="I337" s="30" t="str">
        <f aca="false">IF(A337="","",IF(G337="Concluído","✅ Concluído",IF(F337="","⚪ Sem prazo",IF(H337&lt;0,"🔴 COBRAR · "&amp;-H337&amp;" dia(s) atrasado",IF(H337=0,"🟠 Vence HOJE",IF(H337&lt;=3,"🟠 Vence em "&amp;H337&amp;" dia(s)","🟢 No prazo"))))))</f>
        <v/>
      </c>
      <c r="J337" s="27"/>
      <c r="K337" s="26"/>
      <c r="L337" s="30" t="str">
        <f aca="true">IF(OR(A337="",G337="Concluído",F337=""),"",IF(F337&lt;=TODAY()+3,F337+ROW()/1000000,""))</f>
        <v/>
      </c>
    </row>
    <row r="338" customFormat="false" ht="15" hidden="false" customHeight="false" outlineLevel="0" collapsed="false">
      <c r="A338" s="26"/>
      <c r="B338" s="26"/>
      <c r="C338" s="27"/>
      <c r="D338" s="26"/>
      <c r="E338" s="26"/>
      <c r="F338" s="28" t="str">
        <f aca="false">IF(OR(C338="",D338=""),"",IFERROR(C338-INDEX(Listas!$B$5:$B$30,MATCH(D338,Listas!$A$5:$A$30,0)),""))</f>
        <v/>
      </c>
      <c r="G338" s="26"/>
      <c r="H338" s="29" t="str">
        <f aca="true">IF(OR(A338="",F338="",G338="Concluído"),"",F338-TODAY())</f>
        <v/>
      </c>
      <c r="I338" s="30" t="str">
        <f aca="false">IF(A338="","",IF(G338="Concluído","✅ Concluído",IF(F338="","⚪ Sem prazo",IF(H338&lt;0,"🔴 COBRAR · "&amp;-H338&amp;" dia(s) atrasado",IF(H338=0,"🟠 Vence HOJE",IF(H338&lt;=3,"🟠 Vence em "&amp;H338&amp;" dia(s)","🟢 No prazo"))))))</f>
        <v/>
      </c>
      <c r="J338" s="27"/>
      <c r="K338" s="26"/>
      <c r="L338" s="30" t="str">
        <f aca="true">IF(OR(A338="",G338="Concluído",F338=""),"",IF(F338&lt;=TODAY()+3,F338+ROW()/1000000,""))</f>
        <v/>
      </c>
    </row>
    <row r="339" customFormat="false" ht="15" hidden="false" customHeight="false" outlineLevel="0" collapsed="false">
      <c r="A339" s="26"/>
      <c r="B339" s="26"/>
      <c r="C339" s="27"/>
      <c r="D339" s="26"/>
      <c r="E339" s="26"/>
      <c r="F339" s="28" t="str">
        <f aca="false">IF(OR(C339="",D339=""),"",IFERROR(C339-INDEX(Listas!$B$5:$B$30,MATCH(D339,Listas!$A$5:$A$30,0)),""))</f>
        <v/>
      </c>
      <c r="G339" s="26"/>
      <c r="H339" s="29" t="str">
        <f aca="true">IF(OR(A339="",F339="",G339="Concluído"),"",F339-TODAY())</f>
        <v/>
      </c>
      <c r="I339" s="30" t="str">
        <f aca="false">IF(A339="","",IF(G339="Concluído","✅ Concluído",IF(F339="","⚪ Sem prazo",IF(H339&lt;0,"🔴 COBRAR · "&amp;-H339&amp;" dia(s) atrasado",IF(H339=0,"🟠 Vence HOJE",IF(H339&lt;=3,"🟠 Vence em "&amp;H339&amp;" dia(s)","🟢 No prazo"))))))</f>
        <v/>
      </c>
      <c r="J339" s="27"/>
      <c r="K339" s="26"/>
      <c r="L339" s="30" t="str">
        <f aca="true">IF(OR(A339="",G339="Concluído",F339=""),"",IF(F339&lt;=TODAY()+3,F339+ROW()/1000000,""))</f>
        <v/>
      </c>
    </row>
    <row r="340" customFormat="false" ht="15" hidden="false" customHeight="false" outlineLevel="0" collapsed="false">
      <c r="A340" s="26"/>
      <c r="B340" s="26"/>
      <c r="C340" s="27"/>
      <c r="D340" s="26"/>
      <c r="E340" s="26"/>
      <c r="F340" s="28" t="str">
        <f aca="false">IF(OR(C340="",D340=""),"",IFERROR(C340-INDEX(Listas!$B$5:$B$30,MATCH(D340,Listas!$A$5:$A$30,0)),""))</f>
        <v/>
      </c>
      <c r="G340" s="26"/>
      <c r="H340" s="29" t="str">
        <f aca="true">IF(OR(A340="",F340="",G340="Concluído"),"",F340-TODAY())</f>
        <v/>
      </c>
      <c r="I340" s="30" t="str">
        <f aca="false">IF(A340="","",IF(G340="Concluído","✅ Concluído",IF(F340="","⚪ Sem prazo",IF(H340&lt;0,"🔴 COBRAR · "&amp;-H340&amp;" dia(s) atrasado",IF(H340=0,"🟠 Vence HOJE",IF(H340&lt;=3,"🟠 Vence em "&amp;H340&amp;" dia(s)","🟢 No prazo"))))))</f>
        <v/>
      </c>
      <c r="J340" s="27"/>
      <c r="K340" s="26"/>
      <c r="L340" s="30" t="str">
        <f aca="true">IF(OR(A340="",G340="Concluído",F340=""),"",IF(F340&lt;=TODAY()+3,F340+ROW()/1000000,""))</f>
        <v/>
      </c>
    </row>
    <row r="341" customFormat="false" ht="15" hidden="false" customHeight="false" outlineLevel="0" collapsed="false">
      <c r="A341" s="26"/>
      <c r="B341" s="26"/>
      <c r="C341" s="27"/>
      <c r="D341" s="26"/>
      <c r="E341" s="26"/>
      <c r="F341" s="28" t="str">
        <f aca="false">IF(OR(C341="",D341=""),"",IFERROR(C341-INDEX(Listas!$B$5:$B$30,MATCH(D341,Listas!$A$5:$A$30,0)),""))</f>
        <v/>
      </c>
      <c r="G341" s="26"/>
      <c r="H341" s="29" t="str">
        <f aca="true">IF(OR(A341="",F341="",G341="Concluído"),"",F341-TODAY())</f>
        <v/>
      </c>
      <c r="I341" s="30" t="str">
        <f aca="false">IF(A341="","",IF(G341="Concluído","✅ Concluído",IF(F341="","⚪ Sem prazo",IF(H341&lt;0,"🔴 COBRAR · "&amp;-H341&amp;" dia(s) atrasado",IF(H341=0,"🟠 Vence HOJE",IF(H341&lt;=3,"🟠 Vence em "&amp;H341&amp;" dia(s)","🟢 No prazo"))))))</f>
        <v/>
      </c>
      <c r="J341" s="27"/>
      <c r="K341" s="26"/>
      <c r="L341" s="30" t="str">
        <f aca="true">IF(OR(A341="",G341="Concluído",F341=""),"",IF(F341&lt;=TODAY()+3,F341+ROW()/1000000,""))</f>
        <v/>
      </c>
    </row>
    <row r="342" customFormat="false" ht="15" hidden="false" customHeight="false" outlineLevel="0" collapsed="false">
      <c r="A342" s="26"/>
      <c r="B342" s="26"/>
      <c r="C342" s="27"/>
      <c r="D342" s="26"/>
      <c r="E342" s="26"/>
      <c r="F342" s="28" t="str">
        <f aca="false">IF(OR(C342="",D342=""),"",IFERROR(C342-INDEX(Listas!$B$5:$B$30,MATCH(D342,Listas!$A$5:$A$30,0)),""))</f>
        <v/>
      </c>
      <c r="G342" s="26"/>
      <c r="H342" s="29" t="str">
        <f aca="true">IF(OR(A342="",F342="",G342="Concluído"),"",F342-TODAY())</f>
        <v/>
      </c>
      <c r="I342" s="30" t="str">
        <f aca="false">IF(A342="","",IF(G342="Concluído","✅ Concluído",IF(F342="","⚪ Sem prazo",IF(H342&lt;0,"🔴 COBRAR · "&amp;-H342&amp;" dia(s) atrasado",IF(H342=0,"🟠 Vence HOJE",IF(H342&lt;=3,"🟠 Vence em "&amp;H342&amp;" dia(s)","🟢 No prazo"))))))</f>
        <v/>
      </c>
      <c r="J342" s="27"/>
      <c r="K342" s="26"/>
      <c r="L342" s="30" t="str">
        <f aca="true">IF(OR(A342="",G342="Concluído",F342=""),"",IF(F342&lt;=TODAY()+3,F342+ROW()/1000000,""))</f>
        <v/>
      </c>
    </row>
    <row r="343" customFormat="false" ht="15" hidden="false" customHeight="false" outlineLevel="0" collapsed="false">
      <c r="A343" s="26"/>
      <c r="B343" s="26"/>
      <c r="C343" s="27"/>
      <c r="D343" s="26"/>
      <c r="E343" s="26"/>
      <c r="F343" s="28" t="str">
        <f aca="false">IF(OR(C343="",D343=""),"",IFERROR(C343-INDEX(Listas!$B$5:$B$30,MATCH(D343,Listas!$A$5:$A$30,0)),""))</f>
        <v/>
      </c>
      <c r="G343" s="26"/>
      <c r="H343" s="29" t="str">
        <f aca="true">IF(OR(A343="",F343="",G343="Concluído"),"",F343-TODAY())</f>
        <v/>
      </c>
      <c r="I343" s="30" t="str">
        <f aca="false">IF(A343="","",IF(G343="Concluído","✅ Concluído",IF(F343="","⚪ Sem prazo",IF(H343&lt;0,"🔴 COBRAR · "&amp;-H343&amp;" dia(s) atrasado",IF(H343=0,"🟠 Vence HOJE",IF(H343&lt;=3,"🟠 Vence em "&amp;H343&amp;" dia(s)","🟢 No prazo"))))))</f>
        <v/>
      </c>
      <c r="J343" s="27"/>
      <c r="K343" s="26"/>
      <c r="L343" s="30" t="str">
        <f aca="true">IF(OR(A343="",G343="Concluído",F343=""),"",IF(F343&lt;=TODAY()+3,F343+ROW()/1000000,""))</f>
        <v/>
      </c>
    </row>
    <row r="344" customFormat="false" ht="15" hidden="false" customHeight="false" outlineLevel="0" collapsed="false">
      <c r="A344" s="26"/>
      <c r="B344" s="26"/>
      <c r="C344" s="27"/>
      <c r="D344" s="26"/>
      <c r="E344" s="26"/>
      <c r="F344" s="28" t="str">
        <f aca="false">IF(OR(C344="",D344=""),"",IFERROR(C344-INDEX(Listas!$B$5:$B$30,MATCH(D344,Listas!$A$5:$A$30,0)),""))</f>
        <v/>
      </c>
      <c r="G344" s="26"/>
      <c r="H344" s="29" t="str">
        <f aca="true">IF(OR(A344="",F344="",G344="Concluído"),"",F344-TODAY())</f>
        <v/>
      </c>
      <c r="I344" s="30" t="str">
        <f aca="false">IF(A344="","",IF(G344="Concluído","✅ Concluído",IF(F344="","⚪ Sem prazo",IF(H344&lt;0,"🔴 COBRAR · "&amp;-H344&amp;" dia(s) atrasado",IF(H344=0,"🟠 Vence HOJE",IF(H344&lt;=3,"🟠 Vence em "&amp;H344&amp;" dia(s)","🟢 No prazo"))))))</f>
        <v/>
      </c>
      <c r="J344" s="27"/>
      <c r="K344" s="26"/>
      <c r="L344" s="30" t="str">
        <f aca="true">IF(OR(A344="",G344="Concluído",F344=""),"",IF(F344&lt;=TODAY()+3,F344+ROW()/1000000,""))</f>
        <v/>
      </c>
    </row>
    <row r="345" customFormat="false" ht="15" hidden="false" customHeight="false" outlineLevel="0" collapsed="false">
      <c r="A345" s="26"/>
      <c r="B345" s="26"/>
      <c r="C345" s="27"/>
      <c r="D345" s="26"/>
      <c r="E345" s="26"/>
      <c r="F345" s="28" t="str">
        <f aca="false">IF(OR(C345="",D345=""),"",IFERROR(C345-INDEX(Listas!$B$5:$B$30,MATCH(D345,Listas!$A$5:$A$30,0)),""))</f>
        <v/>
      </c>
      <c r="G345" s="26"/>
      <c r="H345" s="29" t="str">
        <f aca="true">IF(OR(A345="",F345="",G345="Concluído"),"",F345-TODAY())</f>
        <v/>
      </c>
      <c r="I345" s="30" t="str">
        <f aca="false">IF(A345="","",IF(G345="Concluído","✅ Concluído",IF(F345="","⚪ Sem prazo",IF(H345&lt;0,"🔴 COBRAR · "&amp;-H345&amp;" dia(s) atrasado",IF(H345=0,"🟠 Vence HOJE",IF(H345&lt;=3,"🟠 Vence em "&amp;H345&amp;" dia(s)","🟢 No prazo"))))))</f>
        <v/>
      </c>
      <c r="J345" s="27"/>
      <c r="K345" s="26"/>
      <c r="L345" s="30" t="str">
        <f aca="true">IF(OR(A345="",G345="Concluído",F345=""),"",IF(F345&lt;=TODAY()+3,F345+ROW()/1000000,""))</f>
        <v/>
      </c>
    </row>
    <row r="346" customFormat="false" ht="15" hidden="false" customHeight="false" outlineLevel="0" collapsed="false">
      <c r="A346" s="26"/>
      <c r="B346" s="26"/>
      <c r="C346" s="27"/>
      <c r="D346" s="26"/>
      <c r="E346" s="26"/>
      <c r="F346" s="28" t="str">
        <f aca="false">IF(OR(C346="",D346=""),"",IFERROR(C346-INDEX(Listas!$B$5:$B$30,MATCH(D346,Listas!$A$5:$A$30,0)),""))</f>
        <v/>
      </c>
      <c r="G346" s="26"/>
      <c r="H346" s="29" t="str">
        <f aca="true">IF(OR(A346="",F346="",G346="Concluído"),"",F346-TODAY())</f>
        <v/>
      </c>
      <c r="I346" s="30" t="str">
        <f aca="false">IF(A346="","",IF(G346="Concluído","✅ Concluído",IF(F346="","⚪ Sem prazo",IF(H346&lt;0,"🔴 COBRAR · "&amp;-H346&amp;" dia(s) atrasado",IF(H346=0,"🟠 Vence HOJE",IF(H346&lt;=3,"🟠 Vence em "&amp;H346&amp;" dia(s)","🟢 No prazo"))))))</f>
        <v/>
      </c>
      <c r="J346" s="27"/>
      <c r="K346" s="26"/>
      <c r="L346" s="30" t="str">
        <f aca="true">IF(OR(A346="",G346="Concluído",F346=""),"",IF(F346&lt;=TODAY()+3,F346+ROW()/1000000,""))</f>
        <v/>
      </c>
    </row>
    <row r="347" customFormat="false" ht="15" hidden="false" customHeight="false" outlineLevel="0" collapsed="false">
      <c r="A347" s="26"/>
      <c r="B347" s="26"/>
      <c r="C347" s="27"/>
      <c r="D347" s="26"/>
      <c r="E347" s="26"/>
      <c r="F347" s="28" t="str">
        <f aca="false">IF(OR(C347="",D347=""),"",IFERROR(C347-INDEX(Listas!$B$5:$B$30,MATCH(D347,Listas!$A$5:$A$30,0)),""))</f>
        <v/>
      </c>
      <c r="G347" s="26"/>
      <c r="H347" s="29" t="str">
        <f aca="true">IF(OR(A347="",F347="",G347="Concluído"),"",F347-TODAY())</f>
        <v/>
      </c>
      <c r="I347" s="30" t="str">
        <f aca="false">IF(A347="","",IF(G347="Concluído","✅ Concluído",IF(F347="","⚪ Sem prazo",IF(H347&lt;0,"🔴 COBRAR · "&amp;-H347&amp;" dia(s) atrasado",IF(H347=0,"🟠 Vence HOJE",IF(H347&lt;=3,"🟠 Vence em "&amp;H347&amp;" dia(s)","🟢 No prazo"))))))</f>
        <v/>
      </c>
      <c r="J347" s="27"/>
      <c r="K347" s="26"/>
      <c r="L347" s="30" t="str">
        <f aca="true">IF(OR(A347="",G347="Concluído",F347=""),"",IF(F347&lt;=TODAY()+3,F347+ROW()/1000000,""))</f>
        <v/>
      </c>
    </row>
    <row r="348" customFormat="false" ht="15" hidden="false" customHeight="false" outlineLevel="0" collapsed="false">
      <c r="A348" s="26"/>
      <c r="B348" s="26"/>
      <c r="C348" s="27"/>
      <c r="D348" s="26"/>
      <c r="E348" s="26"/>
      <c r="F348" s="28" t="str">
        <f aca="false">IF(OR(C348="",D348=""),"",IFERROR(C348-INDEX(Listas!$B$5:$B$30,MATCH(D348,Listas!$A$5:$A$30,0)),""))</f>
        <v/>
      </c>
      <c r="G348" s="26"/>
      <c r="H348" s="29" t="str">
        <f aca="true">IF(OR(A348="",F348="",G348="Concluído"),"",F348-TODAY())</f>
        <v/>
      </c>
      <c r="I348" s="30" t="str">
        <f aca="false">IF(A348="","",IF(G348="Concluído","✅ Concluído",IF(F348="","⚪ Sem prazo",IF(H348&lt;0,"🔴 COBRAR · "&amp;-H348&amp;" dia(s) atrasado",IF(H348=0,"🟠 Vence HOJE",IF(H348&lt;=3,"🟠 Vence em "&amp;H348&amp;" dia(s)","🟢 No prazo"))))))</f>
        <v/>
      </c>
      <c r="J348" s="27"/>
      <c r="K348" s="26"/>
      <c r="L348" s="30" t="str">
        <f aca="true">IF(OR(A348="",G348="Concluído",F348=""),"",IF(F348&lt;=TODAY()+3,F348+ROW()/1000000,""))</f>
        <v/>
      </c>
    </row>
    <row r="349" customFormat="false" ht="15" hidden="false" customHeight="false" outlineLevel="0" collapsed="false">
      <c r="A349" s="26"/>
      <c r="B349" s="26"/>
      <c r="C349" s="27"/>
      <c r="D349" s="26"/>
      <c r="E349" s="26"/>
      <c r="F349" s="28" t="str">
        <f aca="false">IF(OR(C349="",D349=""),"",IFERROR(C349-INDEX(Listas!$B$5:$B$30,MATCH(D349,Listas!$A$5:$A$30,0)),""))</f>
        <v/>
      </c>
      <c r="G349" s="26"/>
      <c r="H349" s="29" t="str">
        <f aca="true">IF(OR(A349="",F349="",G349="Concluído"),"",F349-TODAY())</f>
        <v/>
      </c>
      <c r="I349" s="30" t="str">
        <f aca="false">IF(A349="","",IF(G349="Concluído","✅ Concluído",IF(F349="","⚪ Sem prazo",IF(H349&lt;0,"🔴 COBRAR · "&amp;-H349&amp;" dia(s) atrasado",IF(H349=0,"🟠 Vence HOJE",IF(H349&lt;=3,"🟠 Vence em "&amp;H349&amp;" dia(s)","🟢 No prazo"))))))</f>
        <v/>
      </c>
      <c r="J349" s="27"/>
      <c r="K349" s="26"/>
      <c r="L349" s="30" t="str">
        <f aca="true">IF(OR(A349="",G349="Concluído",F349=""),"",IF(F349&lt;=TODAY()+3,F349+ROW()/1000000,""))</f>
        <v/>
      </c>
    </row>
    <row r="350" customFormat="false" ht="15" hidden="false" customHeight="false" outlineLevel="0" collapsed="false">
      <c r="A350" s="26"/>
      <c r="B350" s="26"/>
      <c r="C350" s="27"/>
      <c r="D350" s="26"/>
      <c r="E350" s="26"/>
      <c r="F350" s="28" t="str">
        <f aca="false">IF(OR(C350="",D350=""),"",IFERROR(C350-INDEX(Listas!$B$5:$B$30,MATCH(D350,Listas!$A$5:$A$30,0)),""))</f>
        <v/>
      </c>
      <c r="G350" s="26"/>
      <c r="H350" s="29" t="str">
        <f aca="true">IF(OR(A350="",F350="",G350="Concluído"),"",F350-TODAY())</f>
        <v/>
      </c>
      <c r="I350" s="30" t="str">
        <f aca="false">IF(A350="","",IF(G350="Concluído","✅ Concluído",IF(F350="","⚪ Sem prazo",IF(H350&lt;0,"🔴 COBRAR · "&amp;-H350&amp;" dia(s) atrasado",IF(H350=0,"🟠 Vence HOJE",IF(H350&lt;=3,"🟠 Vence em "&amp;H350&amp;" dia(s)","🟢 No prazo"))))))</f>
        <v/>
      </c>
      <c r="J350" s="27"/>
      <c r="K350" s="26"/>
      <c r="L350" s="30" t="str">
        <f aca="true">IF(OR(A350="",G350="Concluído",F350=""),"",IF(F350&lt;=TODAY()+3,F350+ROW()/1000000,""))</f>
        <v/>
      </c>
    </row>
    <row r="351" customFormat="false" ht="15" hidden="false" customHeight="false" outlineLevel="0" collapsed="false">
      <c r="A351" s="26"/>
      <c r="B351" s="26"/>
      <c r="C351" s="27"/>
      <c r="D351" s="26"/>
      <c r="E351" s="26"/>
      <c r="F351" s="28" t="str">
        <f aca="false">IF(OR(C351="",D351=""),"",IFERROR(C351-INDEX(Listas!$B$5:$B$30,MATCH(D351,Listas!$A$5:$A$30,0)),""))</f>
        <v/>
      </c>
      <c r="G351" s="26"/>
      <c r="H351" s="29" t="str">
        <f aca="true">IF(OR(A351="",F351="",G351="Concluído"),"",F351-TODAY())</f>
        <v/>
      </c>
      <c r="I351" s="30" t="str">
        <f aca="false">IF(A351="","",IF(G351="Concluído","✅ Concluído",IF(F351="","⚪ Sem prazo",IF(H351&lt;0,"🔴 COBRAR · "&amp;-H351&amp;" dia(s) atrasado",IF(H351=0,"🟠 Vence HOJE",IF(H351&lt;=3,"🟠 Vence em "&amp;H351&amp;" dia(s)","🟢 No prazo"))))))</f>
        <v/>
      </c>
      <c r="J351" s="27"/>
      <c r="K351" s="26"/>
      <c r="L351" s="30" t="str">
        <f aca="true">IF(OR(A351="",G351="Concluído",F351=""),"",IF(F351&lt;=TODAY()+3,F351+ROW()/1000000,""))</f>
        <v/>
      </c>
    </row>
    <row r="352" customFormat="false" ht="15" hidden="false" customHeight="false" outlineLevel="0" collapsed="false">
      <c r="A352" s="26"/>
      <c r="B352" s="26"/>
      <c r="C352" s="27"/>
      <c r="D352" s="26"/>
      <c r="E352" s="26"/>
      <c r="F352" s="28" t="str">
        <f aca="false">IF(OR(C352="",D352=""),"",IFERROR(C352-INDEX(Listas!$B$5:$B$30,MATCH(D352,Listas!$A$5:$A$30,0)),""))</f>
        <v/>
      </c>
      <c r="G352" s="26"/>
      <c r="H352" s="29" t="str">
        <f aca="true">IF(OR(A352="",F352="",G352="Concluído"),"",F352-TODAY())</f>
        <v/>
      </c>
      <c r="I352" s="30" t="str">
        <f aca="false">IF(A352="","",IF(G352="Concluído","✅ Concluído",IF(F352="","⚪ Sem prazo",IF(H352&lt;0,"🔴 COBRAR · "&amp;-H352&amp;" dia(s) atrasado",IF(H352=0,"🟠 Vence HOJE",IF(H352&lt;=3,"🟠 Vence em "&amp;H352&amp;" dia(s)","🟢 No prazo"))))))</f>
        <v/>
      </c>
      <c r="J352" s="27"/>
      <c r="K352" s="26"/>
      <c r="L352" s="30" t="str">
        <f aca="true">IF(OR(A352="",G352="Concluído",F352=""),"",IF(F352&lt;=TODAY()+3,F352+ROW()/1000000,""))</f>
        <v/>
      </c>
    </row>
    <row r="353" customFormat="false" ht="15" hidden="false" customHeight="false" outlineLevel="0" collapsed="false">
      <c r="A353" s="26"/>
      <c r="B353" s="26"/>
      <c r="C353" s="27"/>
      <c r="D353" s="26"/>
      <c r="E353" s="26"/>
      <c r="F353" s="28" t="str">
        <f aca="false">IF(OR(C353="",D353=""),"",IFERROR(C353-INDEX(Listas!$B$5:$B$30,MATCH(D353,Listas!$A$5:$A$30,0)),""))</f>
        <v/>
      </c>
      <c r="G353" s="26"/>
      <c r="H353" s="29" t="str">
        <f aca="true">IF(OR(A353="",F353="",G353="Concluído"),"",F353-TODAY())</f>
        <v/>
      </c>
      <c r="I353" s="30" t="str">
        <f aca="false">IF(A353="","",IF(G353="Concluído","✅ Concluído",IF(F353="","⚪ Sem prazo",IF(H353&lt;0,"🔴 COBRAR · "&amp;-H353&amp;" dia(s) atrasado",IF(H353=0,"🟠 Vence HOJE",IF(H353&lt;=3,"🟠 Vence em "&amp;H353&amp;" dia(s)","🟢 No prazo"))))))</f>
        <v/>
      </c>
      <c r="J353" s="27"/>
      <c r="K353" s="26"/>
      <c r="L353" s="30" t="str">
        <f aca="true">IF(OR(A353="",G353="Concluído",F353=""),"",IF(F353&lt;=TODAY()+3,F353+ROW()/1000000,""))</f>
        <v/>
      </c>
    </row>
    <row r="354" customFormat="false" ht="15" hidden="false" customHeight="false" outlineLevel="0" collapsed="false">
      <c r="A354" s="26"/>
      <c r="B354" s="26"/>
      <c r="C354" s="27"/>
      <c r="D354" s="26"/>
      <c r="E354" s="26"/>
      <c r="F354" s="28" t="str">
        <f aca="false">IF(OR(C354="",D354=""),"",IFERROR(C354-INDEX(Listas!$B$5:$B$30,MATCH(D354,Listas!$A$5:$A$30,0)),""))</f>
        <v/>
      </c>
      <c r="G354" s="26"/>
      <c r="H354" s="29" t="str">
        <f aca="true">IF(OR(A354="",F354="",G354="Concluído"),"",F354-TODAY())</f>
        <v/>
      </c>
      <c r="I354" s="30" t="str">
        <f aca="false">IF(A354="","",IF(G354="Concluído","✅ Concluído",IF(F354="","⚪ Sem prazo",IF(H354&lt;0,"🔴 COBRAR · "&amp;-H354&amp;" dia(s) atrasado",IF(H354=0,"🟠 Vence HOJE",IF(H354&lt;=3,"🟠 Vence em "&amp;H354&amp;" dia(s)","🟢 No prazo"))))))</f>
        <v/>
      </c>
      <c r="J354" s="27"/>
      <c r="K354" s="26"/>
      <c r="L354" s="30" t="str">
        <f aca="true">IF(OR(A354="",G354="Concluído",F354=""),"",IF(F354&lt;=TODAY()+3,F354+ROW()/1000000,""))</f>
        <v/>
      </c>
    </row>
    <row r="355" customFormat="false" ht="15" hidden="false" customHeight="false" outlineLevel="0" collapsed="false">
      <c r="A355" s="26"/>
      <c r="B355" s="26"/>
      <c r="C355" s="27"/>
      <c r="D355" s="26"/>
      <c r="E355" s="26"/>
      <c r="F355" s="28" t="str">
        <f aca="false">IF(OR(C355="",D355=""),"",IFERROR(C355-INDEX(Listas!$B$5:$B$30,MATCH(D355,Listas!$A$5:$A$30,0)),""))</f>
        <v/>
      </c>
      <c r="G355" s="26"/>
      <c r="H355" s="29" t="str">
        <f aca="true">IF(OR(A355="",F355="",G355="Concluído"),"",F355-TODAY())</f>
        <v/>
      </c>
      <c r="I355" s="30" t="str">
        <f aca="false">IF(A355="","",IF(G355="Concluído","✅ Concluído",IF(F355="","⚪ Sem prazo",IF(H355&lt;0,"🔴 COBRAR · "&amp;-H355&amp;" dia(s) atrasado",IF(H355=0,"🟠 Vence HOJE",IF(H355&lt;=3,"🟠 Vence em "&amp;H355&amp;" dia(s)","🟢 No prazo"))))))</f>
        <v/>
      </c>
      <c r="J355" s="27"/>
      <c r="K355" s="26"/>
      <c r="L355" s="30" t="str">
        <f aca="true">IF(OR(A355="",G355="Concluído",F355=""),"",IF(F355&lt;=TODAY()+3,F355+ROW()/1000000,""))</f>
        <v/>
      </c>
    </row>
    <row r="356" customFormat="false" ht="15" hidden="false" customHeight="false" outlineLevel="0" collapsed="false">
      <c r="A356" s="26"/>
      <c r="B356" s="26"/>
      <c r="C356" s="27"/>
      <c r="D356" s="26"/>
      <c r="E356" s="26"/>
      <c r="F356" s="28" t="str">
        <f aca="false">IF(OR(C356="",D356=""),"",IFERROR(C356-INDEX(Listas!$B$5:$B$30,MATCH(D356,Listas!$A$5:$A$30,0)),""))</f>
        <v/>
      </c>
      <c r="G356" s="26"/>
      <c r="H356" s="29" t="str">
        <f aca="true">IF(OR(A356="",F356="",G356="Concluído"),"",F356-TODAY())</f>
        <v/>
      </c>
      <c r="I356" s="30" t="str">
        <f aca="false">IF(A356="","",IF(G356="Concluído","✅ Concluído",IF(F356="","⚪ Sem prazo",IF(H356&lt;0,"🔴 COBRAR · "&amp;-H356&amp;" dia(s) atrasado",IF(H356=0,"🟠 Vence HOJE",IF(H356&lt;=3,"🟠 Vence em "&amp;H356&amp;" dia(s)","🟢 No prazo"))))))</f>
        <v/>
      </c>
      <c r="J356" s="27"/>
      <c r="K356" s="26"/>
      <c r="L356" s="30" t="str">
        <f aca="true">IF(OR(A356="",G356="Concluído",F356=""),"",IF(F356&lt;=TODAY()+3,F356+ROW()/1000000,""))</f>
        <v/>
      </c>
    </row>
    <row r="357" customFormat="false" ht="15" hidden="false" customHeight="false" outlineLevel="0" collapsed="false">
      <c r="A357" s="26"/>
      <c r="B357" s="26"/>
      <c r="C357" s="27"/>
      <c r="D357" s="26"/>
      <c r="E357" s="26"/>
      <c r="F357" s="28" t="str">
        <f aca="false">IF(OR(C357="",D357=""),"",IFERROR(C357-INDEX(Listas!$B$5:$B$30,MATCH(D357,Listas!$A$5:$A$30,0)),""))</f>
        <v/>
      </c>
      <c r="G357" s="26"/>
      <c r="H357" s="29" t="str">
        <f aca="true">IF(OR(A357="",F357="",G357="Concluído"),"",F357-TODAY())</f>
        <v/>
      </c>
      <c r="I357" s="30" t="str">
        <f aca="false">IF(A357="","",IF(G357="Concluído","✅ Concluído",IF(F357="","⚪ Sem prazo",IF(H357&lt;0,"🔴 COBRAR · "&amp;-H357&amp;" dia(s) atrasado",IF(H357=0,"🟠 Vence HOJE",IF(H357&lt;=3,"🟠 Vence em "&amp;H357&amp;" dia(s)","🟢 No prazo"))))))</f>
        <v/>
      </c>
      <c r="J357" s="27"/>
      <c r="K357" s="26"/>
      <c r="L357" s="30" t="str">
        <f aca="true">IF(OR(A357="",G357="Concluído",F357=""),"",IF(F357&lt;=TODAY()+3,F357+ROW()/1000000,""))</f>
        <v/>
      </c>
    </row>
    <row r="358" customFormat="false" ht="15" hidden="false" customHeight="false" outlineLevel="0" collapsed="false">
      <c r="A358" s="26"/>
      <c r="B358" s="26"/>
      <c r="C358" s="27"/>
      <c r="D358" s="26"/>
      <c r="E358" s="26"/>
      <c r="F358" s="28" t="str">
        <f aca="false">IF(OR(C358="",D358=""),"",IFERROR(C358-INDEX(Listas!$B$5:$B$30,MATCH(D358,Listas!$A$5:$A$30,0)),""))</f>
        <v/>
      </c>
      <c r="G358" s="26"/>
      <c r="H358" s="29" t="str">
        <f aca="true">IF(OR(A358="",F358="",G358="Concluído"),"",F358-TODAY())</f>
        <v/>
      </c>
      <c r="I358" s="30" t="str">
        <f aca="false">IF(A358="","",IF(G358="Concluído","✅ Concluído",IF(F358="","⚪ Sem prazo",IF(H358&lt;0,"🔴 COBRAR · "&amp;-H358&amp;" dia(s) atrasado",IF(H358=0,"🟠 Vence HOJE",IF(H358&lt;=3,"🟠 Vence em "&amp;H358&amp;" dia(s)","🟢 No prazo"))))))</f>
        <v/>
      </c>
      <c r="J358" s="27"/>
      <c r="K358" s="26"/>
      <c r="L358" s="30" t="str">
        <f aca="true">IF(OR(A358="",G358="Concluído",F358=""),"",IF(F358&lt;=TODAY()+3,F358+ROW()/1000000,""))</f>
        <v/>
      </c>
    </row>
    <row r="359" customFormat="false" ht="15" hidden="false" customHeight="false" outlineLevel="0" collapsed="false">
      <c r="A359" s="26"/>
      <c r="B359" s="26"/>
      <c r="C359" s="27"/>
      <c r="D359" s="26"/>
      <c r="E359" s="26"/>
      <c r="F359" s="28" t="str">
        <f aca="false">IF(OR(C359="",D359=""),"",IFERROR(C359-INDEX(Listas!$B$5:$B$30,MATCH(D359,Listas!$A$5:$A$30,0)),""))</f>
        <v/>
      </c>
      <c r="G359" s="26"/>
      <c r="H359" s="29" t="str">
        <f aca="true">IF(OR(A359="",F359="",G359="Concluído"),"",F359-TODAY())</f>
        <v/>
      </c>
      <c r="I359" s="30" t="str">
        <f aca="false">IF(A359="","",IF(G359="Concluído","✅ Concluído",IF(F359="","⚪ Sem prazo",IF(H359&lt;0,"🔴 COBRAR · "&amp;-H359&amp;" dia(s) atrasado",IF(H359=0,"🟠 Vence HOJE",IF(H359&lt;=3,"🟠 Vence em "&amp;H359&amp;" dia(s)","🟢 No prazo"))))))</f>
        <v/>
      </c>
      <c r="J359" s="27"/>
      <c r="K359" s="26"/>
      <c r="L359" s="30" t="str">
        <f aca="true">IF(OR(A359="",G359="Concluído",F359=""),"",IF(F359&lt;=TODAY()+3,F359+ROW()/1000000,""))</f>
        <v/>
      </c>
    </row>
    <row r="360" customFormat="false" ht="15" hidden="false" customHeight="false" outlineLevel="0" collapsed="false">
      <c r="A360" s="26"/>
      <c r="B360" s="26"/>
      <c r="C360" s="27"/>
      <c r="D360" s="26"/>
      <c r="E360" s="26"/>
      <c r="F360" s="28" t="str">
        <f aca="false">IF(OR(C360="",D360=""),"",IFERROR(C360-INDEX(Listas!$B$5:$B$30,MATCH(D360,Listas!$A$5:$A$30,0)),""))</f>
        <v/>
      </c>
      <c r="G360" s="26"/>
      <c r="H360" s="29" t="str">
        <f aca="true">IF(OR(A360="",F360="",G360="Concluído"),"",F360-TODAY())</f>
        <v/>
      </c>
      <c r="I360" s="30" t="str">
        <f aca="false">IF(A360="","",IF(G360="Concluído","✅ Concluído",IF(F360="","⚪ Sem prazo",IF(H360&lt;0,"🔴 COBRAR · "&amp;-H360&amp;" dia(s) atrasado",IF(H360=0,"🟠 Vence HOJE",IF(H360&lt;=3,"🟠 Vence em "&amp;H360&amp;" dia(s)","🟢 No prazo"))))))</f>
        <v/>
      </c>
      <c r="J360" s="27"/>
      <c r="K360" s="26"/>
      <c r="L360" s="30" t="str">
        <f aca="true">IF(OR(A360="",G360="Concluído",F360=""),"",IF(F360&lt;=TODAY()+3,F360+ROW()/1000000,""))</f>
        <v/>
      </c>
    </row>
    <row r="361" customFormat="false" ht="15" hidden="false" customHeight="false" outlineLevel="0" collapsed="false">
      <c r="A361" s="26"/>
      <c r="B361" s="26"/>
      <c r="C361" s="27"/>
      <c r="D361" s="26"/>
      <c r="E361" s="26"/>
      <c r="F361" s="28" t="str">
        <f aca="false">IF(OR(C361="",D361=""),"",IFERROR(C361-INDEX(Listas!$B$5:$B$30,MATCH(D361,Listas!$A$5:$A$30,0)),""))</f>
        <v/>
      </c>
      <c r="G361" s="26"/>
      <c r="H361" s="29" t="str">
        <f aca="true">IF(OR(A361="",F361="",G361="Concluído"),"",F361-TODAY())</f>
        <v/>
      </c>
      <c r="I361" s="30" t="str">
        <f aca="false">IF(A361="","",IF(G361="Concluído","✅ Concluído",IF(F361="","⚪ Sem prazo",IF(H361&lt;0,"🔴 COBRAR · "&amp;-H361&amp;" dia(s) atrasado",IF(H361=0,"🟠 Vence HOJE",IF(H361&lt;=3,"🟠 Vence em "&amp;H361&amp;" dia(s)","🟢 No prazo"))))))</f>
        <v/>
      </c>
      <c r="J361" s="27"/>
      <c r="K361" s="26"/>
      <c r="L361" s="30" t="str">
        <f aca="true">IF(OR(A361="",G361="Concluído",F361=""),"",IF(F361&lt;=TODAY()+3,F361+ROW()/1000000,""))</f>
        <v/>
      </c>
    </row>
    <row r="362" customFormat="false" ht="15" hidden="false" customHeight="false" outlineLevel="0" collapsed="false">
      <c r="A362" s="26"/>
      <c r="B362" s="26"/>
      <c r="C362" s="27"/>
      <c r="D362" s="26"/>
      <c r="E362" s="26"/>
      <c r="F362" s="28" t="str">
        <f aca="false">IF(OR(C362="",D362=""),"",IFERROR(C362-INDEX(Listas!$B$5:$B$30,MATCH(D362,Listas!$A$5:$A$30,0)),""))</f>
        <v/>
      </c>
      <c r="G362" s="26"/>
      <c r="H362" s="29" t="str">
        <f aca="true">IF(OR(A362="",F362="",G362="Concluído"),"",F362-TODAY())</f>
        <v/>
      </c>
      <c r="I362" s="30" t="str">
        <f aca="false">IF(A362="","",IF(G362="Concluído","✅ Concluído",IF(F362="","⚪ Sem prazo",IF(H362&lt;0,"🔴 COBRAR · "&amp;-H362&amp;" dia(s) atrasado",IF(H362=0,"🟠 Vence HOJE",IF(H362&lt;=3,"🟠 Vence em "&amp;H362&amp;" dia(s)","🟢 No prazo"))))))</f>
        <v/>
      </c>
      <c r="J362" s="27"/>
      <c r="K362" s="26"/>
      <c r="L362" s="30" t="str">
        <f aca="true">IF(OR(A362="",G362="Concluído",F362=""),"",IF(F362&lt;=TODAY()+3,F362+ROW()/1000000,""))</f>
        <v/>
      </c>
    </row>
    <row r="363" customFormat="false" ht="15" hidden="false" customHeight="false" outlineLevel="0" collapsed="false">
      <c r="A363" s="26"/>
      <c r="B363" s="26"/>
      <c r="C363" s="27"/>
      <c r="D363" s="26"/>
      <c r="E363" s="26"/>
      <c r="F363" s="28" t="str">
        <f aca="false">IF(OR(C363="",D363=""),"",IFERROR(C363-INDEX(Listas!$B$5:$B$30,MATCH(D363,Listas!$A$5:$A$30,0)),""))</f>
        <v/>
      </c>
      <c r="G363" s="26"/>
      <c r="H363" s="29" t="str">
        <f aca="true">IF(OR(A363="",F363="",G363="Concluído"),"",F363-TODAY())</f>
        <v/>
      </c>
      <c r="I363" s="30" t="str">
        <f aca="false">IF(A363="","",IF(G363="Concluído","✅ Concluído",IF(F363="","⚪ Sem prazo",IF(H363&lt;0,"🔴 COBRAR · "&amp;-H363&amp;" dia(s) atrasado",IF(H363=0,"🟠 Vence HOJE",IF(H363&lt;=3,"🟠 Vence em "&amp;H363&amp;" dia(s)","🟢 No prazo"))))))</f>
        <v/>
      </c>
      <c r="J363" s="27"/>
      <c r="K363" s="26"/>
      <c r="L363" s="30" t="str">
        <f aca="true">IF(OR(A363="",G363="Concluído",F363=""),"",IF(F363&lt;=TODAY()+3,F363+ROW()/1000000,""))</f>
        <v/>
      </c>
    </row>
    <row r="364" customFormat="false" ht="15" hidden="false" customHeight="false" outlineLevel="0" collapsed="false">
      <c r="A364" s="26"/>
      <c r="B364" s="26"/>
      <c r="C364" s="27"/>
      <c r="D364" s="26"/>
      <c r="E364" s="26"/>
      <c r="F364" s="28" t="str">
        <f aca="false">IF(OR(C364="",D364=""),"",IFERROR(C364-INDEX(Listas!$B$5:$B$30,MATCH(D364,Listas!$A$5:$A$30,0)),""))</f>
        <v/>
      </c>
      <c r="G364" s="26"/>
      <c r="H364" s="29" t="str">
        <f aca="true">IF(OR(A364="",F364="",G364="Concluído"),"",F364-TODAY())</f>
        <v/>
      </c>
      <c r="I364" s="30" t="str">
        <f aca="false">IF(A364="","",IF(G364="Concluído","✅ Concluído",IF(F364="","⚪ Sem prazo",IF(H364&lt;0,"🔴 COBRAR · "&amp;-H364&amp;" dia(s) atrasado",IF(H364=0,"🟠 Vence HOJE",IF(H364&lt;=3,"🟠 Vence em "&amp;H364&amp;" dia(s)","🟢 No prazo"))))))</f>
        <v/>
      </c>
      <c r="J364" s="27"/>
      <c r="K364" s="26"/>
      <c r="L364" s="30" t="str">
        <f aca="true">IF(OR(A364="",G364="Concluído",F364=""),"",IF(F364&lt;=TODAY()+3,F364+ROW()/1000000,""))</f>
        <v/>
      </c>
    </row>
    <row r="365" customFormat="false" ht="15" hidden="false" customHeight="false" outlineLevel="0" collapsed="false">
      <c r="A365" s="26"/>
      <c r="B365" s="26"/>
      <c r="C365" s="27"/>
      <c r="D365" s="26"/>
      <c r="E365" s="26"/>
      <c r="F365" s="28" t="str">
        <f aca="false">IF(OR(C365="",D365=""),"",IFERROR(C365-INDEX(Listas!$B$5:$B$30,MATCH(D365,Listas!$A$5:$A$30,0)),""))</f>
        <v/>
      </c>
      <c r="G365" s="26"/>
      <c r="H365" s="29" t="str">
        <f aca="true">IF(OR(A365="",F365="",G365="Concluído"),"",F365-TODAY())</f>
        <v/>
      </c>
      <c r="I365" s="30" t="str">
        <f aca="false">IF(A365="","",IF(G365="Concluído","✅ Concluído",IF(F365="","⚪ Sem prazo",IF(H365&lt;0,"🔴 COBRAR · "&amp;-H365&amp;" dia(s) atrasado",IF(H365=0,"🟠 Vence HOJE",IF(H365&lt;=3,"🟠 Vence em "&amp;H365&amp;" dia(s)","🟢 No prazo"))))))</f>
        <v/>
      </c>
      <c r="J365" s="27"/>
      <c r="K365" s="26"/>
      <c r="L365" s="30" t="str">
        <f aca="true">IF(OR(A365="",G365="Concluído",F365=""),"",IF(F365&lt;=TODAY()+3,F365+ROW()/1000000,""))</f>
        <v/>
      </c>
    </row>
    <row r="366" customFormat="false" ht="15" hidden="false" customHeight="false" outlineLevel="0" collapsed="false">
      <c r="A366" s="26"/>
      <c r="B366" s="26"/>
      <c r="C366" s="27"/>
      <c r="D366" s="26"/>
      <c r="E366" s="26"/>
      <c r="F366" s="28" t="str">
        <f aca="false">IF(OR(C366="",D366=""),"",IFERROR(C366-INDEX(Listas!$B$5:$B$30,MATCH(D366,Listas!$A$5:$A$30,0)),""))</f>
        <v/>
      </c>
      <c r="G366" s="26"/>
      <c r="H366" s="29" t="str">
        <f aca="true">IF(OR(A366="",F366="",G366="Concluído"),"",F366-TODAY())</f>
        <v/>
      </c>
      <c r="I366" s="30" t="str">
        <f aca="false">IF(A366="","",IF(G366="Concluído","✅ Concluído",IF(F366="","⚪ Sem prazo",IF(H366&lt;0,"🔴 COBRAR · "&amp;-H366&amp;" dia(s) atrasado",IF(H366=0,"🟠 Vence HOJE",IF(H366&lt;=3,"🟠 Vence em "&amp;H366&amp;" dia(s)","🟢 No prazo"))))))</f>
        <v/>
      </c>
      <c r="J366" s="27"/>
      <c r="K366" s="26"/>
      <c r="L366" s="30" t="str">
        <f aca="true">IF(OR(A366="",G366="Concluído",F366=""),"",IF(F366&lt;=TODAY()+3,F366+ROW()/1000000,""))</f>
        <v/>
      </c>
    </row>
    <row r="367" customFormat="false" ht="15" hidden="false" customHeight="false" outlineLevel="0" collapsed="false">
      <c r="A367" s="26"/>
      <c r="B367" s="26"/>
      <c r="C367" s="27"/>
      <c r="D367" s="26"/>
      <c r="E367" s="26"/>
      <c r="F367" s="28" t="str">
        <f aca="false">IF(OR(C367="",D367=""),"",IFERROR(C367-INDEX(Listas!$B$5:$B$30,MATCH(D367,Listas!$A$5:$A$30,0)),""))</f>
        <v/>
      </c>
      <c r="G367" s="26"/>
      <c r="H367" s="29" t="str">
        <f aca="true">IF(OR(A367="",F367="",G367="Concluído"),"",F367-TODAY())</f>
        <v/>
      </c>
      <c r="I367" s="30" t="str">
        <f aca="false">IF(A367="","",IF(G367="Concluído","✅ Concluído",IF(F367="","⚪ Sem prazo",IF(H367&lt;0,"🔴 COBRAR · "&amp;-H367&amp;" dia(s) atrasado",IF(H367=0,"🟠 Vence HOJE",IF(H367&lt;=3,"🟠 Vence em "&amp;H367&amp;" dia(s)","🟢 No prazo"))))))</f>
        <v/>
      </c>
      <c r="J367" s="27"/>
      <c r="K367" s="26"/>
      <c r="L367" s="30" t="str">
        <f aca="true">IF(OR(A367="",G367="Concluído",F367=""),"",IF(F367&lt;=TODAY()+3,F367+ROW()/1000000,""))</f>
        <v/>
      </c>
    </row>
    <row r="368" customFormat="false" ht="15" hidden="false" customHeight="false" outlineLevel="0" collapsed="false">
      <c r="A368" s="26"/>
      <c r="B368" s="26"/>
      <c r="C368" s="27"/>
      <c r="D368" s="26"/>
      <c r="E368" s="26"/>
      <c r="F368" s="28" t="str">
        <f aca="false">IF(OR(C368="",D368=""),"",IFERROR(C368-INDEX(Listas!$B$5:$B$30,MATCH(D368,Listas!$A$5:$A$30,0)),""))</f>
        <v/>
      </c>
      <c r="G368" s="26"/>
      <c r="H368" s="29" t="str">
        <f aca="true">IF(OR(A368="",F368="",G368="Concluído"),"",F368-TODAY())</f>
        <v/>
      </c>
      <c r="I368" s="30" t="str">
        <f aca="false">IF(A368="","",IF(G368="Concluído","✅ Concluído",IF(F368="","⚪ Sem prazo",IF(H368&lt;0,"🔴 COBRAR · "&amp;-H368&amp;" dia(s) atrasado",IF(H368=0,"🟠 Vence HOJE",IF(H368&lt;=3,"🟠 Vence em "&amp;H368&amp;" dia(s)","🟢 No prazo"))))))</f>
        <v/>
      </c>
      <c r="J368" s="27"/>
      <c r="K368" s="26"/>
      <c r="L368" s="30" t="str">
        <f aca="true">IF(OR(A368="",G368="Concluído",F368=""),"",IF(F368&lt;=TODAY()+3,F368+ROW()/1000000,""))</f>
        <v/>
      </c>
    </row>
    <row r="369" customFormat="false" ht="15" hidden="false" customHeight="false" outlineLevel="0" collapsed="false">
      <c r="A369" s="26"/>
      <c r="B369" s="26"/>
      <c r="C369" s="27"/>
      <c r="D369" s="26"/>
      <c r="E369" s="26"/>
      <c r="F369" s="28" t="str">
        <f aca="false">IF(OR(C369="",D369=""),"",IFERROR(C369-INDEX(Listas!$B$5:$B$30,MATCH(D369,Listas!$A$5:$A$30,0)),""))</f>
        <v/>
      </c>
      <c r="G369" s="26"/>
      <c r="H369" s="29" t="str">
        <f aca="true">IF(OR(A369="",F369="",G369="Concluído"),"",F369-TODAY())</f>
        <v/>
      </c>
      <c r="I369" s="30" t="str">
        <f aca="false">IF(A369="","",IF(G369="Concluído","✅ Concluído",IF(F369="","⚪ Sem prazo",IF(H369&lt;0,"🔴 COBRAR · "&amp;-H369&amp;" dia(s) atrasado",IF(H369=0,"🟠 Vence HOJE",IF(H369&lt;=3,"🟠 Vence em "&amp;H369&amp;" dia(s)","🟢 No prazo"))))))</f>
        <v/>
      </c>
      <c r="J369" s="27"/>
      <c r="K369" s="26"/>
      <c r="L369" s="30" t="str">
        <f aca="true">IF(OR(A369="",G369="Concluído",F369=""),"",IF(F369&lt;=TODAY()+3,F369+ROW()/1000000,""))</f>
        <v/>
      </c>
    </row>
    <row r="370" customFormat="false" ht="15" hidden="false" customHeight="false" outlineLevel="0" collapsed="false">
      <c r="A370" s="26"/>
      <c r="B370" s="26"/>
      <c r="C370" s="27"/>
      <c r="D370" s="26"/>
      <c r="E370" s="26"/>
      <c r="F370" s="28" t="str">
        <f aca="false">IF(OR(C370="",D370=""),"",IFERROR(C370-INDEX(Listas!$B$5:$B$30,MATCH(D370,Listas!$A$5:$A$30,0)),""))</f>
        <v/>
      </c>
      <c r="G370" s="26"/>
      <c r="H370" s="29" t="str">
        <f aca="true">IF(OR(A370="",F370="",G370="Concluído"),"",F370-TODAY())</f>
        <v/>
      </c>
      <c r="I370" s="30" t="str">
        <f aca="false">IF(A370="","",IF(G370="Concluído","✅ Concluído",IF(F370="","⚪ Sem prazo",IF(H370&lt;0,"🔴 COBRAR · "&amp;-H370&amp;" dia(s) atrasado",IF(H370=0,"🟠 Vence HOJE",IF(H370&lt;=3,"🟠 Vence em "&amp;H370&amp;" dia(s)","🟢 No prazo"))))))</f>
        <v/>
      </c>
      <c r="J370" s="27"/>
      <c r="K370" s="26"/>
      <c r="L370" s="30" t="str">
        <f aca="true">IF(OR(A370="",G370="Concluído",F370=""),"",IF(F370&lt;=TODAY()+3,F370+ROW()/1000000,""))</f>
        <v/>
      </c>
    </row>
    <row r="371" customFormat="false" ht="15" hidden="false" customHeight="false" outlineLevel="0" collapsed="false">
      <c r="A371" s="26"/>
      <c r="B371" s="26"/>
      <c r="C371" s="27"/>
      <c r="D371" s="26"/>
      <c r="E371" s="26"/>
      <c r="F371" s="28" t="str">
        <f aca="false">IF(OR(C371="",D371=""),"",IFERROR(C371-INDEX(Listas!$B$5:$B$30,MATCH(D371,Listas!$A$5:$A$30,0)),""))</f>
        <v/>
      </c>
      <c r="G371" s="26"/>
      <c r="H371" s="29" t="str">
        <f aca="true">IF(OR(A371="",F371="",G371="Concluído"),"",F371-TODAY())</f>
        <v/>
      </c>
      <c r="I371" s="30" t="str">
        <f aca="false">IF(A371="","",IF(G371="Concluído","✅ Concluído",IF(F371="","⚪ Sem prazo",IF(H371&lt;0,"🔴 COBRAR · "&amp;-H371&amp;" dia(s) atrasado",IF(H371=0,"🟠 Vence HOJE",IF(H371&lt;=3,"🟠 Vence em "&amp;H371&amp;" dia(s)","🟢 No prazo"))))))</f>
        <v/>
      </c>
      <c r="J371" s="27"/>
      <c r="K371" s="26"/>
      <c r="L371" s="30" t="str">
        <f aca="true">IF(OR(A371="",G371="Concluído",F371=""),"",IF(F371&lt;=TODAY()+3,F371+ROW()/1000000,""))</f>
        <v/>
      </c>
    </row>
    <row r="372" customFormat="false" ht="15" hidden="false" customHeight="false" outlineLevel="0" collapsed="false">
      <c r="A372" s="26"/>
      <c r="B372" s="26"/>
      <c r="C372" s="27"/>
      <c r="D372" s="26"/>
      <c r="E372" s="26"/>
      <c r="F372" s="28" t="str">
        <f aca="false">IF(OR(C372="",D372=""),"",IFERROR(C372-INDEX(Listas!$B$5:$B$30,MATCH(D372,Listas!$A$5:$A$30,0)),""))</f>
        <v/>
      </c>
      <c r="G372" s="26"/>
      <c r="H372" s="29" t="str">
        <f aca="true">IF(OR(A372="",F372="",G372="Concluído"),"",F372-TODAY())</f>
        <v/>
      </c>
      <c r="I372" s="30" t="str">
        <f aca="false">IF(A372="","",IF(G372="Concluído","✅ Concluído",IF(F372="","⚪ Sem prazo",IF(H372&lt;0,"🔴 COBRAR · "&amp;-H372&amp;" dia(s) atrasado",IF(H372=0,"🟠 Vence HOJE",IF(H372&lt;=3,"🟠 Vence em "&amp;H372&amp;" dia(s)","🟢 No prazo"))))))</f>
        <v/>
      </c>
      <c r="J372" s="27"/>
      <c r="K372" s="26"/>
      <c r="L372" s="30" t="str">
        <f aca="true">IF(OR(A372="",G372="Concluído",F372=""),"",IF(F372&lt;=TODAY()+3,F372+ROW()/1000000,""))</f>
        <v/>
      </c>
    </row>
    <row r="373" customFormat="false" ht="15" hidden="false" customHeight="false" outlineLevel="0" collapsed="false">
      <c r="A373" s="26"/>
      <c r="B373" s="26"/>
      <c r="C373" s="27"/>
      <c r="D373" s="26"/>
      <c r="E373" s="26"/>
      <c r="F373" s="28" t="str">
        <f aca="false">IF(OR(C373="",D373=""),"",IFERROR(C373-INDEX(Listas!$B$5:$B$30,MATCH(D373,Listas!$A$5:$A$30,0)),""))</f>
        <v/>
      </c>
      <c r="G373" s="26"/>
      <c r="H373" s="29" t="str">
        <f aca="true">IF(OR(A373="",F373="",G373="Concluído"),"",F373-TODAY())</f>
        <v/>
      </c>
      <c r="I373" s="30" t="str">
        <f aca="false">IF(A373="","",IF(G373="Concluído","✅ Concluído",IF(F373="","⚪ Sem prazo",IF(H373&lt;0,"🔴 COBRAR · "&amp;-H373&amp;" dia(s) atrasado",IF(H373=0,"🟠 Vence HOJE",IF(H373&lt;=3,"🟠 Vence em "&amp;H373&amp;" dia(s)","🟢 No prazo"))))))</f>
        <v/>
      </c>
      <c r="J373" s="27"/>
      <c r="K373" s="26"/>
      <c r="L373" s="30" t="str">
        <f aca="true">IF(OR(A373="",G373="Concluído",F373=""),"",IF(F373&lt;=TODAY()+3,F373+ROW()/1000000,""))</f>
        <v/>
      </c>
    </row>
    <row r="374" customFormat="false" ht="15" hidden="false" customHeight="false" outlineLevel="0" collapsed="false">
      <c r="A374" s="26"/>
      <c r="B374" s="26"/>
      <c r="C374" s="27"/>
      <c r="D374" s="26"/>
      <c r="E374" s="26"/>
      <c r="F374" s="28" t="str">
        <f aca="false">IF(OR(C374="",D374=""),"",IFERROR(C374-INDEX(Listas!$B$5:$B$30,MATCH(D374,Listas!$A$5:$A$30,0)),""))</f>
        <v/>
      </c>
      <c r="G374" s="26"/>
      <c r="H374" s="29" t="str">
        <f aca="true">IF(OR(A374="",F374="",G374="Concluído"),"",F374-TODAY())</f>
        <v/>
      </c>
      <c r="I374" s="30" t="str">
        <f aca="false">IF(A374="","",IF(G374="Concluído","✅ Concluído",IF(F374="","⚪ Sem prazo",IF(H374&lt;0,"🔴 COBRAR · "&amp;-H374&amp;" dia(s) atrasado",IF(H374=0,"🟠 Vence HOJE",IF(H374&lt;=3,"🟠 Vence em "&amp;H374&amp;" dia(s)","🟢 No prazo"))))))</f>
        <v/>
      </c>
      <c r="J374" s="27"/>
      <c r="K374" s="26"/>
      <c r="L374" s="30" t="str">
        <f aca="true">IF(OR(A374="",G374="Concluído",F374=""),"",IF(F374&lt;=TODAY()+3,F374+ROW()/1000000,""))</f>
        <v/>
      </c>
    </row>
    <row r="375" customFormat="false" ht="15" hidden="false" customHeight="false" outlineLevel="0" collapsed="false">
      <c r="A375" s="26"/>
      <c r="B375" s="26"/>
      <c r="C375" s="27"/>
      <c r="D375" s="26"/>
      <c r="E375" s="26"/>
      <c r="F375" s="28" t="str">
        <f aca="false">IF(OR(C375="",D375=""),"",IFERROR(C375-INDEX(Listas!$B$5:$B$30,MATCH(D375,Listas!$A$5:$A$30,0)),""))</f>
        <v/>
      </c>
      <c r="G375" s="26"/>
      <c r="H375" s="29" t="str">
        <f aca="true">IF(OR(A375="",F375="",G375="Concluído"),"",F375-TODAY())</f>
        <v/>
      </c>
      <c r="I375" s="30" t="str">
        <f aca="false">IF(A375="","",IF(G375="Concluído","✅ Concluído",IF(F375="","⚪ Sem prazo",IF(H375&lt;0,"🔴 COBRAR · "&amp;-H375&amp;" dia(s) atrasado",IF(H375=0,"🟠 Vence HOJE",IF(H375&lt;=3,"🟠 Vence em "&amp;H375&amp;" dia(s)","🟢 No prazo"))))))</f>
        <v/>
      </c>
      <c r="J375" s="27"/>
      <c r="K375" s="26"/>
      <c r="L375" s="30" t="str">
        <f aca="true">IF(OR(A375="",G375="Concluído",F375=""),"",IF(F375&lt;=TODAY()+3,F375+ROW()/1000000,""))</f>
        <v/>
      </c>
    </row>
    <row r="376" customFormat="false" ht="15" hidden="false" customHeight="false" outlineLevel="0" collapsed="false">
      <c r="A376" s="26"/>
      <c r="B376" s="26"/>
      <c r="C376" s="27"/>
      <c r="D376" s="26"/>
      <c r="E376" s="26"/>
      <c r="F376" s="28" t="str">
        <f aca="false">IF(OR(C376="",D376=""),"",IFERROR(C376-INDEX(Listas!$B$5:$B$30,MATCH(D376,Listas!$A$5:$A$30,0)),""))</f>
        <v/>
      </c>
      <c r="G376" s="26"/>
      <c r="H376" s="29" t="str">
        <f aca="true">IF(OR(A376="",F376="",G376="Concluído"),"",F376-TODAY())</f>
        <v/>
      </c>
      <c r="I376" s="30" t="str">
        <f aca="false">IF(A376="","",IF(G376="Concluído","✅ Concluído",IF(F376="","⚪ Sem prazo",IF(H376&lt;0,"🔴 COBRAR · "&amp;-H376&amp;" dia(s) atrasado",IF(H376=0,"🟠 Vence HOJE",IF(H376&lt;=3,"🟠 Vence em "&amp;H376&amp;" dia(s)","🟢 No prazo"))))))</f>
        <v/>
      </c>
      <c r="J376" s="27"/>
      <c r="K376" s="26"/>
      <c r="L376" s="30" t="str">
        <f aca="true">IF(OR(A376="",G376="Concluído",F376=""),"",IF(F376&lt;=TODAY()+3,F376+ROW()/1000000,""))</f>
        <v/>
      </c>
    </row>
    <row r="377" customFormat="false" ht="15" hidden="false" customHeight="false" outlineLevel="0" collapsed="false">
      <c r="A377" s="26"/>
      <c r="B377" s="26"/>
      <c r="C377" s="27"/>
      <c r="D377" s="26"/>
      <c r="E377" s="26"/>
      <c r="F377" s="28" t="str">
        <f aca="false">IF(OR(C377="",D377=""),"",IFERROR(C377-INDEX(Listas!$B$5:$B$30,MATCH(D377,Listas!$A$5:$A$30,0)),""))</f>
        <v/>
      </c>
      <c r="G377" s="26"/>
      <c r="H377" s="29" t="str">
        <f aca="true">IF(OR(A377="",F377="",G377="Concluído"),"",F377-TODAY())</f>
        <v/>
      </c>
      <c r="I377" s="30" t="str">
        <f aca="false">IF(A377="","",IF(G377="Concluído","✅ Concluído",IF(F377="","⚪ Sem prazo",IF(H377&lt;0,"🔴 COBRAR · "&amp;-H377&amp;" dia(s) atrasado",IF(H377=0,"🟠 Vence HOJE",IF(H377&lt;=3,"🟠 Vence em "&amp;H377&amp;" dia(s)","🟢 No prazo"))))))</f>
        <v/>
      </c>
      <c r="J377" s="27"/>
      <c r="K377" s="26"/>
      <c r="L377" s="30" t="str">
        <f aca="true">IF(OR(A377="",G377="Concluído",F377=""),"",IF(F377&lt;=TODAY()+3,F377+ROW()/1000000,""))</f>
        <v/>
      </c>
    </row>
    <row r="378" customFormat="false" ht="15" hidden="false" customHeight="false" outlineLevel="0" collapsed="false">
      <c r="A378" s="26"/>
      <c r="B378" s="26"/>
      <c r="C378" s="27"/>
      <c r="D378" s="26"/>
      <c r="E378" s="26"/>
      <c r="F378" s="28" t="str">
        <f aca="false">IF(OR(C378="",D378=""),"",IFERROR(C378-INDEX(Listas!$B$5:$B$30,MATCH(D378,Listas!$A$5:$A$30,0)),""))</f>
        <v/>
      </c>
      <c r="G378" s="26"/>
      <c r="H378" s="29" t="str">
        <f aca="true">IF(OR(A378="",F378="",G378="Concluído"),"",F378-TODAY())</f>
        <v/>
      </c>
      <c r="I378" s="30" t="str">
        <f aca="false">IF(A378="","",IF(G378="Concluído","✅ Concluído",IF(F378="","⚪ Sem prazo",IF(H378&lt;0,"🔴 COBRAR · "&amp;-H378&amp;" dia(s) atrasado",IF(H378=0,"🟠 Vence HOJE",IF(H378&lt;=3,"🟠 Vence em "&amp;H378&amp;" dia(s)","🟢 No prazo"))))))</f>
        <v/>
      </c>
      <c r="J378" s="27"/>
      <c r="K378" s="26"/>
      <c r="L378" s="30" t="str">
        <f aca="true">IF(OR(A378="",G378="Concluído",F378=""),"",IF(F378&lt;=TODAY()+3,F378+ROW()/1000000,""))</f>
        <v/>
      </c>
    </row>
    <row r="379" customFormat="false" ht="15" hidden="false" customHeight="false" outlineLevel="0" collapsed="false">
      <c r="A379" s="26"/>
      <c r="B379" s="26"/>
      <c r="C379" s="27"/>
      <c r="D379" s="26"/>
      <c r="E379" s="26"/>
      <c r="F379" s="28" t="str">
        <f aca="false">IF(OR(C379="",D379=""),"",IFERROR(C379-INDEX(Listas!$B$5:$B$30,MATCH(D379,Listas!$A$5:$A$30,0)),""))</f>
        <v/>
      </c>
      <c r="G379" s="26"/>
      <c r="H379" s="29" t="str">
        <f aca="true">IF(OR(A379="",F379="",G379="Concluído"),"",F379-TODAY())</f>
        <v/>
      </c>
      <c r="I379" s="30" t="str">
        <f aca="false">IF(A379="","",IF(G379="Concluído","✅ Concluído",IF(F379="","⚪ Sem prazo",IF(H379&lt;0,"🔴 COBRAR · "&amp;-H379&amp;" dia(s) atrasado",IF(H379=0,"🟠 Vence HOJE",IF(H379&lt;=3,"🟠 Vence em "&amp;H379&amp;" dia(s)","🟢 No prazo"))))))</f>
        <v/>
      </c>
      <c r="J379" s="27"/>
      <c r="K379" s="26"/>
      <c r="L379" s="30" t="str">
        <f aca="true">IF(OR(A379="",G379="Concluído",F379=""),"",IF(F379&lt;=TODAY()+3,F379+ROW()/1000000,""))</f>
        <v/>
      </c>
    </row>
    <row r="380" customFormat="false" ht="15" hidden="false" customHeight="false" outlineLevel="0" collapsed="false">
      <c r="A380" s="26"/>
      <c r="B380" s="26"/>
      <c r="C380" s="27"/>
      <c r="D380" s="26"/>
      <c r="E380" s="26"/>
      <c r="F380" s="28" t="str">
        <f aca="false">IF(OR(C380="",D380=""),"",IFERROR(C380-INDEX(Listas!$B$5:$B$30,MATCH(D380,Listas!$A$5:$A$30,0)),""))</f>
        <v/>
      </c>
      <c r="G380" s="26"/>
      <c r="H380" s="29" t="str">
        <f aca="true">IF(OR(A380="",F380="",G380="Concluído"),"",F380-TODAY())</f>
        <v/>
      </c>
      <c r="I380" s="30" t="str">
        <f aca="false">IF(A380="","",IF(G380="Concluído","✅ Concluído",IF(F380="","⚪ Sem prazo",IF(H380&lt;0,"🔴 COBRAR · "&amp;-H380&amp;" dia(s) atrasado",IF(H380=0,"🟠 Vence HOJE",IF(H380&lt;=3,"🟠 Vence em "&amp;H380&amp;" dia(s)","🟢 No prazo"))))))</f>
        <v/>
      </c>
      <c r="J380" s="27"/>
      <c r="K380" s="26"/>
      <c r="L380" s="30" t="str">
        <f aca="true">IF(OR(A380="",G380="Concluído",F380=""),"",IF(F380&lt;=TODAY()+3,F380+ROW()/1000000,""))</f>
        <v/>
      </c>
    </row>
    <row r="381" customFormat="false" ht="15" hidden="false" customHeight="false" outlineLevel="0" collapsed="false">
      <c r="A381" s="26"/>
      <c r="B381" s="26"/>
      <c r="C381" s="27"/>
      <c r="D381" s="26"/>
      <c r="E381" s="26"/>
      <c r="F381" s="28" t="str">
        <f aca="false">IF(OR(C381="",D381=""),"",IFERROR(C381-INDEX(Listas!$B$5:$B$30,MATCH(D381,Listas!$A$5:$A$30,0)),""))</f>
        <v/>
      </c>
      <c r="G381" s="26"/>
      <c r="H381" s="29" t="str">
        <f aca="true">IF(OR(A381="",F381="",G381="Concluído"),"",F381-TODAY())</f>
        <v/>
      </c>
      <c r="I381" s="30" t="str">
        <f aca="false">IF(A381="","",IF(G381="Concluído","✅ Concluído",IF(F381="","⚪ Sem prazo",IF(H381&lt;0,"🔴 COBRAR · "&amp;-H381&amp;" dia(s) atrasado",IF(H381=0,"🟠 Vence HOJE",IF(H381&lt;=3,"🟠 Vence em "&amp;H381&amp;" dia(s)","🟢 No prazo"))))))</f>
        <v/>
      </c>
      <c r="J381" s="27"/>
      <c r="K381" s="26"/>
      <c r="L381" s="30" t="str">
        <f aca="true">IF(OR(A381="",G381="Concluído",F381=""),"",IF(F381&lt;=TODAY()+3,F381+ROW()/1000000,""))</f>
        <v/>
      </c>
    </row>
    <row r="382" customFormat="false" ht="15" hidden="false" customHeight="false" outlineLevel="0" collapsed="false">
      <c r="A382" s="26"/>
      <c r="B382" s="26"/>
      <c r="C382" s="27"/>
      <c r="D382" s="26"/>
      <c r="E382" s="26"/>
      <c r="F382" s="28" t="str">
        <f aca="false">IF(OR(C382="",D382=""),"",IFERROR(C382-INDEX(Listas!$B$5:$B$30,MATCH(D382,Listas!$A$5:$A$30,0)),""))</f>
        <v/>
      </c>
      <c r="G382" s="26"/>
      <c r="H382" s="29" t="str">
        <f aca="true">IF(OR(A382="",F382="",G382="Concluído"),"",F382-TODAY())</f>
        <v/>
      </c>
      <c r="I382" s="30" t="str">
        <f aca="false">IF(A382="","",IF(G382="Concluído","✅ Concluído",IF(F382="","⚪ Sem prazo",IF(H382&lt;0,"🔴 COBRAR · "&amp;-H382&amp;" dia(s) atrasado",IF(H382=0,"🟠 Vence HOJE",IF(H382&lt;=3,"🟠 Vence em "&amp;H382&amp;" dia(s)","🟢 No prazo"))))))</f>
        <v/>
      </c>
      <c r="J382" s="27"/>
      <c r="K382" s="26"/>
      <c r="L382" s="30" t="str">
        <f aca="true">IF(OR(A382="",G382="Concluído",F382=""),"",IF(F382&lt;=TODAY()+3,F382+ROW()/1000000,""))</f>
        <v/>
      </c>
    </row>
    <row r="383" customFormat="false" ht="15" hidden="false" customHeight="false" outlineLevel="0" collapsed="false">
      <c r="A383" s="26"/>
      <c r="B383" s="26"/>
      <c r="C383" s="27"/>
      <c r="D383" s="26"/>
      <c r="E383" s="26"/>
      <c r="F383" s="28" t="str">
        <f aca="false">IF(OR(C383="",D383=""),"",IFERROR(C383-INDEX(Listas!$B$5:$B$30,MATCH(D383,Listas!$A$5:$A$30,0)),""))</f>
        <v/>
      </c>
      <c r="G383" s="26"/>
      <c r="H383" s="29" t="str">
        <f aca="true">IF(OR(A383="",F383="",G383="Concluído"),"",F383-TODAY())</f>
        <v/>
      </c>
      <c r="I383" s="30" t="str">
        <f aca="false">IF(A383="","",IF(G383="Concluído","✅ Concluído",IF(F383="","⚪ Sem prazo",IF(H383&lt;0,"🔴 COBRAR · "&amp;-H383&amp;" dia(s) atrasado",IF(H383=0,"🟠 Vence HOJE",IF(H383&lt;=3,"🟠 Vence em "&amp;H383&amp;" dia(s)","🟢 No prazo"))))))</f>
        <v/>
      </c>
      <c r="J383" s="27"/>
      <c r="K383" s="26"/>
      <c r="L383" s="30" t="str">
        <f aca="true">IF(OR(A383="",G383="Concluído",F383=""),"",IF(F383&lt;=TODAY()+3,F383+ROW()/1000000,""))</f>
        <v/>
      </c>
    </row>
    <row r="384" customFormat="false" ht="15" hidden="false" customHeight="false" outlineLevel="0" collapsed="false">
      <c r="A384" s="26"/>
      <c r="B384" s="26"/>
      <c r="C384" s="27"/>
      <c r="D384" s="26"/>
      <c r="E384" s="26"/>
      <c r="F384" s="28" t="str">
        <f aca="false">IF(OR(C384="",D384=""),"",IFERROR(C384-INDEX(Listas!$B$5:$B$30,MATCH(D384,Listas!$A$5:$A$30,0)),""))</f>
        <v/>
      </c>
      <c r="G384" s="26"/>
      <c r="H384" s="29" t="str">
        <f aca="true">IF(OR(A384="",F384="",G384="Concluído"),"",F384-TODAY())</f>
        <v/>
      </c>
      <c r="I384" s="30" t="str">
        <f aca="false">IF(A384="","",IF(G384="Concluído","✅ Concluído",IF(F384="","⚪ Sem prazo",IF(H384&lt;0,"🔴 COBRAR · "&amp;-H384&amp;" dia(s) atrasado",IF(H384=0,"🟠 Vence HOJE",IF(H384&lt;=3,"🟠 Vence em "&amp;H384&amp;" dia(s)","🟢 No prazo"))))))</f>
        <v/>
      </c>
      <c r="J384" s="27"/>
      <c r="K384" s="26"/>
      <c r="L384" s="30" t="str">
        <f aca="true">IF(OR(A384="",G384="Concluído",F384=""),"",IF(F384&lt;=TODAY()+3,F384+ROW()/1000000,""))</f>
        <v/>
      </c>
    </row>
    <row r="385" customFormat="false" ht="15" hidden="false" customHeight="false" outlineLevel="0" collapsed="false">
      <c r="A385" s="26"/>
      <c r="B385" s="26"/>
      <c r="C385" s="27"/>
      <c r="D385" s="26"/>
      <c r="E385" s="26"/>
      <c r="F385" s="28" t="str">
        <f aca="false">IF(OR(C385="",D385=""),"",IFERROR(C385-INDEX(Listas!$B$5:$B$30,MATCH(D385,Listas!$A$5:$A$30,0)),""))</f>
        <v/>
      </c>
      <c r="G385" s="26"/>
      <c r="H385" s="29" t="str">
        <f aca="true">IF(OR(A385="",F385="",G385="Concluído"),"",F385-TODAY())</f>
        <v/>
      </c>
      <c r="I385" s="30" t="str">
        <f aca="false">IF(A385="","",IF(G385="Concluído","✅ Concluído",IF(F385="","⚪ Sem prazo",IF(H385&lt;0,"🔴 COBRAR · "&amp;-H385&amp;" dia(s) atrasado",IF(H385=0,"🟠 Vence HOJE",IF(H385&lt;=3,"🟠 Vence em "&amp;H385&amp;" dia(s)","🟢 No prazo"))))))</f>
        <v/>
      </c>
      <c r="J385" s="27"/>
      <c r="K385" s="26"/>
      <c r="L385" s="30" t="str">
        <f aca="true">IF(OR(A385="",G385="Concluído",F385=""),"",IF(F385&lt;=TODAY()+3,F385+ROW()/1000000,""))</f>
        <v/>
      </c>
    </row>
    <row r="386" customFormat="false" ht="15" hidden="false" customHeight="false" outlineLevel="0" collapsed="false">
      <c r="A386" s="26"/>
      <c r="B386" s="26"/>
      <c r="C386" s="27"/>
      <c r="D386" s="26"/>
      <c r="E386" s="26"/>
      <c r="F386" s="28" t="str">
        <f aca="false">IF(OR(C386="",D386=""),"",IFERROR(C386-INDEX(Listas!$B$5:$B$30,MATCH(D386,Listas!$A$5:$A$30,0)),""))</f>
        <v/>
      </c>
      <c r="G386" s="26"/>
      <c r="H386" s="29" t="str">
        <f aca="true">IF(OR(A386="",F386="",G386="Concluído"),"",F386-TODAY())</f>
        <v/>
      </c>
      <c r="I386" s="30" t="str">
        <f aca="false">IF(A386="","",IF(G386="Concluído","✅ Concluído",IF(F386="","⚪ Sem prazo",IF(H386&lt;0,"🔴 COBRAR · "&amp;-H386&amp;" dia(s) atrasado",IF(H386=0,"🟠 Vence HOJE",IF(H386&lt;=3,"🟠 Vence em "&amp;H386&amp;" dia(s)","🟢 No prazo"))))))</f>
        <v/>
      </c>
      <c r="J386" s="27"/>
      <c r="K386" s="26"/>
      <c r="L386" s="30" t="str">
        <f aca="true">IF(OR(A386="",G386="Concluído",F386=""),"",IF(F386&lt;=TODAY()+3,F386+ROW()/1000000,""))</f>
        <v/>
      </c>
    </row>
    <row r="387" customFormat="false" ht="15" hidden="false" customHeight="false" outlineLevel="0" collapsed="false">
      <c r="A387" s="26"/>
      <c r="B387" s="26"/>
      <c r="C387" s="27"/>
      <c r="D387" s="26"/>
      <c r="E387" s="26"/>
      <c r="F387" s="28" t="str">
        <f aca="false">IF(OR(C387="",D387=""),"",IFERROR(C387-INDEX(Listas!$B$5:$B$30,MATCH(D387,Listas!$A$5:$A$30,0)),""))</f>
        <v/>
      </c>
      <c r="G387" s="26"/>
      <c r="H387" s="29" t="str">
        <f aca="true">IF(OR(A387="",F387="",G387="Concluído"),"",F387-TODAY())</f>
        <v/>
      </c>
      <c r="I387" s="30" t="str">
        <f aca="false">IF(A387="","",IF(G387="Concluído","✅ Concluído",IF(F387="","⚪ Sem prazo",IF(H387&lt;0,"🔴 COBRAR · "&amp;-H387&amp;" dia(s) atrasado",IF(H387=0,"🟠 Vence HOJE",IF(H387&lt;=3,"🟠 Vence em "&amp;H387&amp;" dia(s)","🟢 No prazo"))))))</f>
        <v/>
      </c>
      <c r="J387" s="27"/>
      <c r="K387" s="26"/>
      <c r="L387" s="30" t="str">
        <f aca="true">IF(OR(A387="",G387="Concluído",F387=""),"",IF(F387&lt;=TODAY()+3,F387+ROW()/1000000,""))</f>
        <v/>
      </c>
    </row>
    <row r="388" customFormat="false" ht="15" hidden="false" customHeight="false" outlineLevel="0" collapsed="false">
      <c r="A388" s="26"/>
      <c r="B388" s="26"/>
      <c r="C388" s="27"/>
      <c r="D388" s="26"/>
      <c r="E388" s="26"/>
      <c r="F388" s="28" t="str">
        <f aca="false">IF(OR(C388="",D388=""),"",IFERROR(C388-INDEX(Listas!$B$5:$B$30,MATCH(D388,Listas!$A$5:$A$30,0)),""))</f>
        <v/>
      </c>
      <c r="G388" s="26"/>
      <c r="H388" s="29" t="str">
        <f aca="true">IF(OR(A388="",F388="",G388="Concluído"),"",F388-TODAY())</f>
        <v/>
      </c>
      <c r="I388" s="30" t="str">
        <f aca="false">IF(A388="","",IF(G388="Concluído","✅ Concluído",IF(F388="","⚪ Sem prazo",IF(H388&lt;0,"🔴 COBRAR · "&amp;-H388&amp;" dia(s) atrasado",IF(H388=0,"🟠 Vence HOJE",IF(H388&lt;=3,"🟠 Vence em "&amp;H388&amp;" dia(s)","🟢 No prazo"))))))</f>
        <v/>
      </c>
      <c r="J388" s="27"/>
      <c r="K388" s="26"/>
      <c r="L388" s="30" t="str">
        <f aca="true">IF(OR(A388="",G388="Concluído",F388=""),"",IF(F388&lt;=TODAY()+3,F388+ROW()/1000000,""))</f>
        <v/>
      </c>
    </row>
    <row r="389" customFormat="false" ht="15" hidden="false" customHeight="false" outlineLevel="0" collapsed="false">
      <c r="A389" s="26"/>
      <c r="B389" s="26"/>
      <c r="C389" s="27"/>
      <c r="D389" s="26"/>
      <c r="E389" s="26"/>
      <c r="F389" s="28" t="str">
        <f aca="false">IF(OR(C389="",D389=""),"",IFERROR(C389-INDEX(Listas!$B$5:$B$30,MATCH(D389,Listas!$A$5:$A$30,0)),""))</f>
        <v/>
      </c>
      <c r="G389" s="26"/>
      <c r="H389" s="29" t="str">
        <f aca="true">IF(OR(A389="",F389="",G389="Concluído"),"",F389-TODAY())</f>
        <v/>
      </c>
      <c r="I389" s="30" t="str">
        <f aca="false">IF(A389="","",IF(G389="Concluído","✅ Concluído",IF(F389="","⚪ Sem prazo",IF(H389&lt;0,"🔴 COBRAR · "&amp;-H389&amp;" dia(s) atrasado",IF(H389=0,"🟠 Vence HOJE",IF(H389&lt;=3,"🟠 Vence em "&amp;H389&amp;" dia(s)","🟢 No prazo"))))))</f>
        <v/>
      </c>
      <c r="J389" s="27"/>
      <c r="K389" s="26"/>
      <c r="L389" s="30" t="str">
        <f aca="true">IF(OR(A389="",G389="Concluído",F389=""),"",IF(F389&lt;=TODAY()+3,F389+ROW()/1000000,""))</f>
        <v/>
      </c>
    </row>
    <row r="390" customFormat="false" ht="15" hidden="false" customHeight="false" outlineLevel="0" collapsed="false">
      <c r="A390" s="26"/>
      <c r="B390" s="26"/>
      <c r="C390" s="27"/>
      <c r="D390" s="26"/>
      <c r="E390" s="26"/>
      <c r="F390" s="28" t="str">
        <f aca="false">IF(OR(C390="",D390=""),"",IFERROR(C390-INDEX(Listas!$B$5:$B$30,MATCH(D390,Listas!$A$5:$A$30,0)),""))</f>
        <v/>
      </c>
      <c r="G390" s="26"/>
      <c r="H390" s="29" t="str">
        <f aca="true">IF(OR(A390="",F390="",G390="Concluído"),"",F390-TODAY())</f>
        <v/>
      </c>
      <c r="I390" s="30" t="str">
        <f aca="false">IF(A390="","",IF(G390="Concluído","✅ Concluído",IF(F390="","⚪ Sem prazo",IF(H390&lt;0,"🔴 COBRAR · "&amp;-H390&amp;" dia(s) atrasado",IF(H390=0,"🟠 Vence HOJE",IF(H390&lt;=3,"🟠 Vence em "&amp;H390&amp;" dia(s)","🟢 No prazo"))))))</f>
        <v/>
      </c>
      <c r="J390" s="27"/>
      <c r="K390" s="26"/>
      <c r="L390" s="30" t="str">
        <f aca="true">IF(OR(A390="",G390="Concluído",F390=""),"",IF(F390&lt;=TODAY()+3,F390+ROW()/1000000,""))</f>
        <v/>
      </c>
    </row>
    <row r="391" customFormat="false" ht="15" hidden="false" customHeight="false" outlineLevel="0" collapsed="false">
      <c r="A391" s="26"/>
      <c r="B391" s="26"/>
      <c r="C391" s="27"/>
      <c r="D391" s="26"/>
      <c r="E391" s="26"/>
      <c r="F391" s="28" t="str">
        <f aca="false">IF(OR(C391="",D391=""),"",IFERROR(C391-INDEX(Listas!$B$5:$B$30,MATCH(D391,Listas!$A$5:$A$30,0)),""))</f>
        <v/>
      </c>
      <c r="G391" s="26"/>
      <c r="H391" s="29" t="str">
        <f aca="true">IF(OR(A391="",F391="",G391="Concluído"),"",F391-TODAY())</f>
        <v/>
      </c>
      <c r="I391" s="30" t="str">
        <f aca="false">IF(A391="","",IF(G391="Concluído","✅ Concluído",IF(F391="","⚪ Sem prazo",IF(H391&lt;0,"🔴 COBRAR · "&amp;-H391&amp;" dia(s) atrasado",IF(H391=0,"🟠 Vence HOJE",IF(H391&lt;=3,"🟠 Vence em "&amp;H391&amp;" dia(s)","🟢 No prazo"))))))</f>
        <v/>
      </c>
      <c r="J391" s="27"/>
      <c r="K391" s="26"/>
      <c r="L391" s="30" t="str">
        <f aca="true">IF(OR(A391="",G391="Concluído",F391=""),"",IF(F391&lt;=TODAY()+3,F391+ROW()/1000000,""))</f>
        <v/>
      </c>
    </row>
    <row r="392" customFormat="false" ht="15" hidden="false" customHeight="false" outlineLevel="0" collapsed="false">
      <c r="A392" s="26"/>
      <c r="B392" s="26"/>
      <c r="C392" s="27"/>
      <c r="D392" s="26"/>
      <c r="E392" s="26"/>
      <c r="F392" s="28" t="str">
        <f aca="false">IF(OR(C392="",D392=""),"",IFERROR(C392-INDEX(Listas!$B$5:$B$30,MATCH(D392,Listas!$A$5:$A$30,0)),""))</f>
        <v/>
      </c>
      <c r="G392" s="26"/>
      <c r="H392" s="29" t="str">
        <f aca="true">IF(OR(A392="",F392="",G392="Concluído"),"",F392-TODAY())</f>
        <v/>
      </c>
      <c r="I392" s="30" t="str">
        <f aca="false">IF(A392="","",IF(G392="Concluído","✅ Concluído",IF(F392="","⚪ Sem prazo",IF(H392&lt;0,"🔴 COBRAR · "&amp;-H392&amp;" dia(s) atrasado",IF(H392=0,"🟠 Vence HOJE",IF(H392&lt;=3,"🟠 Vence em "&amp;H392&amp;" dia(s)","🟢 No prazo"))))))</f>
        <v/>
      </c>
      <c r="J392" s="27"/>
      <c r="K392" s="26"/>
      <c r="L392" s="30" t="str">
        <f aca="true">IF(OR(A392="",G392="Concluído",F392=""),"",IF(F392&lt;=TODAY()+3,F392+ROW()/1000000,""))</f>
        <v/>
      </c>
    </row>
    <row r="393" customFormat="false" ht="15" hidden="false" customHeight="false" outlineLevel="0" collapsed="false">
      <c r="A393" s="26"/>
      <c r="B393" s="26"/>
      <c r="C393" s="27"/>
      <c r="D393" s="26"/>
      <c r="E393" s="26"/>
      <c r="F393" s="28" t="str">
        <f aca="false">IF(OR(C393="",D393=""),"",IFERROR(C393-INDEX(Listas!$B$5:$B$30,MATCH(D393,Listas!$A$5:$A$30,0)),""))</f>
        <v/>
      </c>
      <c r="G393" s="26"/>
      <c r="H393" s="29" t="str">
        <f aca="true">IF(OR(A393="",F393="",G393="Concluído"),"",F393-TODAY())</f>
        <v/>
      </c>
      <c r="I393" s="30" t="str">
        <f aca="false">IF(A393="","",IF(G393="Concluído","✅ Concluído",IF(F393="","⚪ Sem prazo",IF(H393&lt;0,"🔴 COBRAR · "&amp;-H393&amp;" dia(s) atrasado",IF(H393=0,"🟠 Vence HOJE",IF(H393&lt;=3,"🟠 Vence em "&amp;H393&amp;" dia(s)","🟢 No prazo"))))))</f>
        <v/>
      </c>
      <c r="J393" s="27"/>
      <c r="K393" s="26"/>
      <c r="L393" s="30" t="str">
        <f aca="true">IF(OR(A393="",G393="Concluído",F393=""),"",IF(F393&lt;=TODAY()+3,F393+ROW()/1000000,""))</f>
        <v/>
      </c>
    </row>
    <row r="394" customFormat="false" ht="15" hidden="false" customHeight="false" outlineLevel="0" collapsed="false">
      <c r="A394" s="26"/>
      <c r="B394" s="26"/>
      <c r="C394" s="27"/>
      <c r="D394" s="26"/>
      <c r="E394" s="26"/>
      <c r="F394" s="28" t="str">
        <f aca="false">IF(OR(C394="",D394=""),"",IFERROR(C394-INDEX(Listas!$B$5:$B$30,MATCH(D394,Listas!$A$5:$A$30,0)),""))</f>
        <v/>
      </c>
      <c r="G394" s="26"/>
      <c r="H394" s="29" t="str">
        <f aca="true">IF(OR(A394="",F394="",G394="Concluído"),"",F394-TODAY())</f>
        <v/>
      </c>
      <c r="I394" s="30" t="str">
        <f aca="false">IF(A394="","",IF(G394="Concluído","✅ Concluído",IF(F394="","⚪ Sem prazo",IF(H394&lt;0,"🔴 COBRAR · "&amp;-H394&amp;" dia(s) atrasado",IF(H394=0,"🟠 Vence HOJE",IF(H394&lt;=3,"🟠 Vence em "&amp;H394&amp;" dia(s)","🟢 No prazo"))))))</f>
        <v/>
      </c>
      <c r="J394" s="27"/>
      <c r="K394" s="26"/>
      <c r="L394" s="30" t="str">
        <f aca="true">IF(OR(A394="",G394="Concluído",F394=""),"",IF(F394&lt;=TODAY()+3,F394+ROW()/1000000,""))</f>
        <v/>
      </c>
    </row>
    <row r="395" customFormat="false" ht="15" hidden="false" customHeight="false" outlineLevel="0" collapsed="false">
      <c r="A395" s="26"/>
      <c r="B395" s="26"/>
      <c r="C395" s="27"/>
      <c r="D395" s="26"/>
      <c r="E395" s="26"/>
      <c r="F395" s="28" t="str">
        <f aca="false">IF(OR(C395="",D395=""),"",IFERROR(C395-INDEX(Listas!$B$5:$B$30,MATCH(D395,Listas!$A$5:$A$30,0)),""))</f>
        <v/>
      </c>
      <c r="G395" s="26"/>
      <c r="H395" s="29" t="str">
        <f aca="true">IF(OR(A395="",F395="",G395="Concluído"),"",F395-TODAY())</f>
        <v/>
      </c>
      <c r="I395" s="30" t="str">
        <f aca="false">IF(A395="","",IF(G395="Concluído","✅ Concluído",IF(F395="","⚪ Sem prazo",IF(H395&lt;0,"🔴 COBRAR · "&amp;-H395&amp;" dia(s) atrasado",IF(H395=0,"🟠 Vence HOJE",IF(H395&lt;=3,"🟠 Vence em "&amp;H395&amp;" dia(s)","🟢 No prazo"))))))</f>
        <v/>
      </c>
      <c r="J395" s="27"/>
      <c r="K395" s="26"/>
      <c r="L395" s="30" t="str">
        <f aca="true">IF(OR(A395="",G395="Concluído",F395=""),"",IF(F395&lt;=TODAY()+3,F395+ROW()/1000000,""))</f>
        <v/>
      </c>
    </row>
    <row r="396" customFormat="false" ht="15" hidden="false" customHeight="false" outlineLevel="0" collapsed="false">
      <c r="A396" s="26"/>
      <c r="B396" s="26"/>
      <c r="C396" s="27"/>
      <c r="D396" s="26"/>
      <c r="E396" s="26"/>
      <c r="F396" s="28" t="str">
        <f aca="false">IF(OR(C396="",D396=""),"",IFERROR(C396-INDEX(Listas!$B$5:$B$30,MATCH(D396,Listas!$A$5:$A$30,0)),""))</f>
        <v/>
      </c>
      <c r="G396" s="26"/>
      <c r="H396" s="29" t="str">
        <f aca="true">IF(OR(A396="",F396="",G396="Concluído"),"",F396-TODAY())</f>
        <v/>
      </c>
      <c r="I396" s="30" t="str">
        <f aca="false">IF(A396="","",IF(G396="Concluído","✅ Concluído",IF(F396="","⚪ Sem prazo",IF(H396&lt;0,"🔴 COBRAR · "&amp;-H396&amp;" dia(s) atrasado",IF(H396=0,"🟠 Vence HOJE",IF(H396&lt;=3,"🟠 Vence em "&amp;H396&amp;" dia(s)","🟢 No prazo"))))))</f>
        <v/>
      </c>
      <c r="J396" s="27"/>
      <c r="K396" s="26"/>
      <c r="L396" s="30" t="str">
        <f aca="true">IF(OR(A396="",G396="Concluído",F396=""),"",IF(F396&lt;=TODAY()+3,F396+ROW()/1000000,""))</f>
        <v/>
      </c>
    </row>
    <row r="397" customFormat="false" ht="15" hidden="false" customHeight="false" outlineLevel="0" collapsed="false">
      <c r="A397" s="26"/>
      <c r="B397" s="26"/>
      <c r="C397" s="27"/>
      <c r="D397" s="26"/>
      <c r="E397" s="26"/>
      <c r="F397" s="28" t="str">
        <f aca="false">IF(OR(C397="",D397=""),"",IFERROR(C397-INDEX(Listas!$B$5:$B$30,MATCH(D397,Listas!$A$5:$A$30,0)),""))</f>
        <v/>
      </c>
      <c r="G397" s="26"/>
      <c r="H397" s="29" t="str">
        <f aca="true">IF(OR(A397="",F397="",G397="Concluído"),"",F397-TODAY())</f>
        <v/>
      </c>
      <c r="I397" s="30" t="str">
        <f aca="false">IF(A397="","",IF(G397="Concluído","✅ Concluído",IF(F397="","⚪ Sem prazo",IF(H397&lt;0,"🔴 COBRAR · "&amp;-H397&amp;" dia(s) atrasado",IF(H397=0,"🟠 Vence HOJE",IF(H397&lt;=3,"🟠 Vence em "&amp;H397&amp;" dia(s)","🟢 No prazo"))))))</f>
        <v/>
      </c>
      <c r="J397" s="27"/>
      <c r="K397" s="26"/>
      <c r="L397" s="30" t="str">
        <f aca="true">IF(OR(A397="",G397="Concluído",F397=""),"",IF(F397&lt;=TODAY()+3,F397+ROW()/1000000,""))</f>
        <v/>
      </c>
    </row>
    <row r="398" customFormat="false" ht="15" hidden="false" customHeight="false" outlineLevel="0" collapsed="false">
      <c r="A398" s="26"/>
      <c r="B398" s="26"/>
      <c r="C398" s="27"/>
      <c r="D398" s="26"/>
      <c r="E398" s="26"/>
      <c r="F398" s="28" t="str">
        <f aca="false">IF(OR(C398="",D398=""),"",IFERROR(C398-INDEX(Listas!$B$5:$B$30,MATCH(D398,Listas!$A$5:$A$30,0)),""))</f>
        <v/>
      </c>
      <c r="G398" s="26"/>
      <c r="H398" s="29" t="str">
        <f aca="true">IF(OR(A398="",F398="",G398="Concluído"),"",F398-TODAY())</f>
        <v/>
      </c>
      <c r="I398" s="30" t="str">
        <f aca="false">IF(A398="","",IF(G398="Concluído","✅ Concluído",IF(F398="","⚪ Sem prazo",IF(H398&lt;0,"🔴 COBRAR · "&amp;-H398&amp;" dia(s) atrasado",IF(H398=0,"🟠 Vence HOJE",IF(H398&lt;=3,"🟠 Vence em "&amp;H398&amp;" dia(s)","🟢 No prazo"))))))</f>
        <v/>
      </c>
      <c r="J398" s="27"/>
      <c r="K398" s="26"/>
      <c r="L398" s="30" t="str">
        <f aca="true">IF(OR(A398="",G398="Concluído",F398=""),"",IF(F398&lt;=TODAY()+3,F398+ROW()/1000000,""))</f>
        <v/>
      </c>
    </row>
    <row r="399" customFormat="false" ht="15" hidden="false" customHeight="false" outlineLevel="0" collapsed="false">
      <c r="A399" s="26"/>
      <c r="B399" s="26"/>
      <c r="C399" s="27"/>
      <c r="D399" s="26"/>
      <c r="E399" s="26"/>
      <c r="F399" s="28" t="str">
        <f aca="false">IF(OR(C399="",D399=""),"",IFERROR(C399-INDEX(Listas!$B$5:$B$30,MATCH(D399,Listas!$A$5:$A$30,0)),""))</f>
        <v/>
      </c>
      <c r="G399" s="26"/>
      <c r="H399" s="29" t="str">
        <f aca="true">IF(OR(A399="",F399="",G399="Concluído"),"",F399-TODAY())</f>
        <v/>
      </c>
      <c r="I399" s="30" t="str">
        <f aca="false">IF(A399="","",IF(G399="Concluído","✅ Concluído",IF(F399="","⚪ Sem prazo",IF(H399&lt;0,"🔴 COBRAR · "&amp;-H399&amp;" dia(s) atrasado",IF(H399=0,"🟠 Vence HOJE",IF(H399&lt;=3,"🟠 Vence em "&amp;H399&amp;" dia(s)","🟢 No prazo"))))))</f>
        <v/>
      </c>
      <c r="J399" s="27"/>
      <c r="K399" s="26"/>
      <c r="L399" s="30" t="str">
        <f aca="true">IF(OR(A399="",G399="Concluído",F399=""),"",IF(F399&lt;=TODAY()+3,F399+ROW()/1000000,""))</f>
        <v/>
      </c>
    </row>
    <row r="400" customFormat="false" ht="15" hidden="false" customHeight="false" outlineLevel="0" collapsed="false">
      <c r="A400" s="26"/>
      <c r="B400" s="26"/>
      <c r="C400" s="27"/>
      <c r="D400" s="26"/>
      <c r="E400" s="26"/>
      <c r="F400" s="28" t="str">
        <f aca="false">IF(OR(C400="",D400=""),"",IFERROR(C400-INDEX(Listas!$B$5:$B$30,MATCH(D400,Listas!$A$5:$A$30,0)),""))</f>
        <v/>
      </c>
      <c r="G400" s="26"/>
      <c r="H400" s="29" t="str">
        <f aca="true">IF(OR(A400="",F400="",G400="Concluído"),"",F400-TODAY())</f>
        <v/>
      </c>
      <c r="I400" s="30" t="str">
        <f aca="false">IF(A400="","",IF(G400="Concluído","✅ Concluído",IF(F400="","⚪ Sem prazo",IF(H400&lt;0,"🔴 COBRAR · "&amp;-H400&amp;" dia(s) atrasado",IF(H400=0,"🟠 Vence HOJE",IF(H400&lt;=3,"🟠 Vence em "&amp;H400&amp;" dia(s)","🟢 No prazo"))))))</f>
        <v/>
      </c>
      <c r="J400" s="27"/>
      <c r="K400" s="26"/>
      <c r="L400" s="30" t="str">
        <f aca="true">IF(OR(A400="",G400="Concluído",F400=""),"",IF(F400&lt;=TODAY()+3,F400+ROW()/1000000,""))</f>
        <v/>
      </c>
    </row>
    <row r="401" customFormat="false" ht="15" hidden="false" customHeight="false" outlineLevel="0" collapsed="false">
      <c r="A401" s="26"/>
      <c r="B401" s="26"/>
      <c r="C401" s="27"/>
      <c r="D401" s="26"/>
      <c r="E401" s="26"/>
      <c r="F401" s="28" t="str">
        <f aca="false">IF(OR(C401="",D401=""),"",IFERROR(C401-INDEX(Listas!$B$5:$B$30,MATCH(D401,Listas!$A$5:$A$30,0)),""))</f>
        <v/>
      </c>
      <c r="G401" s="26"/>
      <c r="H401" s="29" t="str">
        <f aca="true">IF(OR(A401="",F401="",G401="Concluído"),"",F401-TODAY())</f>
        <v/>
      </c>
      <c r="I401" s="30" t="str">
        <f aca="false">IF(A401="","",IF(G401="Concluído","✅ Concluído",IF(F401="","⚪ Sem prazo",IF(H401&lt;0,"🔴 COBRAR · "&amp;-H401&amp;" dia(s) atrasado",IF(H401=0,"🟠 Vence HOJE",IF(H401&lt;=3,"🟠 Vence em "&amp;H401&amp;" dia(s)","🟢 No prazo"))))))</f>
        <v/>
      </c>
      <c r="J401" s="27"/>
      <c r="K401" s="26"/>
      <c r="L401" s="30" t="str">
        <f aca="true">IF(OR(A401="",G401="Concluído",F401=""),"",IF(F401&lt;=TODAY()+3,F401+ROW()/1000000,""))</f>
        <v/>
      </c>
    </row>
  </sheetData>
  <autoFilter ref="A1:K401"/>
  <conditionalFormatting sqref="A2:K401">
    <cfRule type="expression" priority="2" aboveAverage="0" equalAverage="0" bottom="0" percent="0" rank="0" text="" dxfId="0">
      <formula>ISNUMBER(SEARCH("COBRAR",$I2))</formula>
    </cfRule>
    <cfRule type="expression" priority="3" aboveAverage="0" equalAverage="0" bottom="0" percent="0" rank="0" text="" dxfId="1">
      <formula>ISNUMBER(SEARCH("Vence",$I2))</formula>
    </cfRule>
    <cfRule type="expression" priority="4" aboveAverage="0" equalAverage="0" bottom="0" percent="0" rank="0" text="" dxfId="16">
      <formula>$G2="Concluído"</formula>
    </cfRule>
  </conditionalFormatting>
  <conditionalFormatting sqref="I2:I401">
    <cfRule type="expression" priority="5" aboveAverage="0" equalAverage="0" bottom="0" percent="0" rank="0" text="" dxfId="17">
      <formula>ISNUMBER(SEARCH("COBRAR",I2))</formula>
    </cfRule>
    <cfRule type="expression" priority="6" aboveAverage="0" equalAverage="0" bottom="0" percent="0" rank="0" text="" dxfId="18">
      <formula>ISNUMBER(SEARCH("Vence",I2))</formula>
    </cfRule>
    <cfRule type="expression" priority="7" aboveAverage="0" equalAverage="0" bottom="0" percent="0" rank="0" text="" dxfId="19">
      <formula>ISNUMBER(SEARCH("No prazo",I2))</formula>
    </cfRule>
  </conditionalFormatting>
  <dataValidations count="4">
    <dataValidation allowBlank="true" error="Cadastre o artista na aba Artistas primeiro." errorStyle="stop" errorTitle="Valor inválido" operator="between" showDropDown="false" showErrorMessage="true" showInputMessage="false" sqref="A2:A401" type="list">
      <formula1>Artistas!$A$5:$A$104</formula1>
      <formula2>0</formula2>
    </dataValidation>
    <dataValidation allowBlank="true" error="Escolha uma etapa da aba Listas." errorStyle="stop" errorTitle="Valor inválido" operator="between" showDropDown="false" showErrorMessage="true" showInputMessage="false" sqref="D2:D401" type="list">
      <formula1>Listas!$A$5:$A$30</formula1>
      <formula2>0</formula2>
    </dataValidation>
    <dataValidation allowBlank="true" error="Cadastre o responsável na aba Responsáveis primeiro." errorStyle="stop" errorTitle="Valor inválido" operator="between" showDropDown="false" showErrorMessage="true" showInputMessage="false" sqref="E2:E401" type="list">
      <formula1>Responsáveis!$A$5:$A$24</formula1>
      <formula2>0</formula2>
    </dataValidation>
    <dataValidation allowBlank="true" error="Escolha um status da lista." errorStyle="stop" errorTitle="Valor inválido" operator="between" showDropDown="false" showErrorMessage="true" showInputMessage="false" sqref="G2:G401" type="list">
      <formula1>Listas!$D$5:$D$8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22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32" t="s">
        <v>60</v>
      </c>
    </row>
    <row r="2" customFormat="false" ht="15" hidden="false" customHeight="false" outlineLevel="0" collapsed="false">
      <c r="A2" s="33" t="s">
        <v>61</v>
      </c>
    </row>
    <row r="4" customFormat="false" ht="31.5" hidden="false" customHeight="true" outlineLevel="0" collapsed="false">
      <c r="A4" s="25" t="s">
        <v>9</v>
      </c>
      <c r="B4" s="25" t="s">
        <v>62</v>
      </c>
      <c r="C4" s="25" t="s">
        <v>20</v>
      </c>
      <c r="D4" s="25" t="s">
        <v>63</v>
      </c>
      <c r="E4" s="25" t="s">
        <v>64</v>
      </c>
      <c r="F4" s="25" t="s">
        <v>65</v>
      </c>
      <c r="G4" s="25" t="s">
        <v>66</v>
      </c>
      <c r="H4" s="25" t="s">
        <v>21</v>
      </c>
      <c r="I4" s="25" t="s">
        <v>2</v>
      </c>
      <c r="J4" s="25" t="s">
        <v>17</v>
      </c>
      <c r="K4" s="25" t="s">
        <v>13</v>
      </c>
      <c r="L4" s="25" t="s">
        <v>29</v>
      </c>
    </row>
    <row r="5" customFormat="false" ht="15" hidden="false" customHeight="false" outlineLevel="0" collapsed="false">
      <c r="A5" s="26" t="s">
        <v>31</v>
      </c>
      <c r="B5" s="26" t="s">
        <v>67</v>
      </c>
      <c r="C5" s="26" t="s">
        <v>34</v>
      </c>
      <c r="D5" s="26" t="s">
        <v>68</v>
      </c>
      <c r="E5" s="27" t="n">
        <v>46204</v>
      </c>
      <c r="F5" s="26" t="s">
        <v>69</v>
      </c>
      <c r="G5" s="34" t="n">
        <f aca="true">IF(OR(A5="",E5=""),"",DATEDIF(E5,TODAY(),"m")+1)</f>
        <v>4</v>
      </c>
      <c r="H5" s="35" t="n">
        <f aca="true">IF(A5="","",IF(_xlfn.MINIFS(Lançamentos!$C$2:$C$401,Lançamentos!$A$2:$A$401,A5,Lançamentos!$C$2:$C$401,"&gt;="&amp;TODAY())=0,"—",_xlfn.MINIFS(Lançamentos!$C$2:$C$401,Lançamentos!$A$2:$A$401,A5,Lançamentos!$C$2:$C$401,"&gt;="&amp;TODAY())))</f>
        <v>46311</v>
      </c>
      <c r="I5" s="34" t="n">
        <f aca="false">IF(A5="","",COUNTIFS(Lançamentos!$A$2:$A$401,A5,Lançamentos!$G$2:$G$401,"&lt;&gt;Concluído"))</f>
        <v>5</v>
      </c>
      <c r="J5" s="34" t="n">
        <f aca="true">IF(A5="","",COUNTIFS(Lançamentos!$A$2:$A$401,A5,Lançamentos!$G$2:$G$401,"&lt;&gt;Concluído",Lançamentos!$F$2:$F$401,"&lt;"&amp;TODAY()))</f>
        <v>2</v>
      </c>
      <c r="K5" s="29" t="str">
        <f aca="false">IF(A5="","",IF(F5&lt;&gt;"Ativo","⚪ "&amp;F5,IF(J5&gt;0,"🔴 Cobrar equipe",IF(I5&gt;0,"🟡 Em execução","🟢 Em dia"))))</f>
        <v>🔴 Cobrar equipe</v>
      </c>
      <c r="L5" s="26"/>
    </row>
    <row r="6" customFormat="false" ht="15" hidden="false" customHeight="false" outlineLevel="0" collapsed="false">
      <c r="A6" s="26" t="s">
        <v>52</v>
      </c>
      <c r="B6" s="26" t="s">
        <v>70</v>
      </c>
      <c r="C6" s="26" t="s">
        <v>34</v>
      </c>
      <c r="D6" s="26" t="s">
        <v>71</v>
      </c>
      <c r="E6" s="27" t="n">
        <v>46249</v>
      </c>
      <c r="F6" s="26" t="s">
        <v>69</v>
      </c>
      <c r="G6" s="34" t="n">
        <f aca="true">IF(OR(A6="",E6=""),"",DATEDIF(E6,TODAY(),"m")+1)</f>
        <v>2</v>
      </c>
      <c r="H6" s="35" t="n">
        <f aca="true">IF(A6="","",IF(_xlfn.MINIFS(Lançamentos!$C$2:$C$401,Lançamentos!$A$2:$A$401,A6,Lançamentos!$C$2:$C$401,"&gt;="&amp;TODAY())=0,"—",_xlfn.MINIFS(Lançamentos!$C$2:$C$401,Lançamentos!$A$2:$A$401,A6,Lançamentos!$C$2:$C$401,"&gt;="&amp;TODAY())))</f>
        <v>46325</v>
      </c>
      <c r="I6" s="34" t="n">
        <f aca="false">IF(A6="","",COUNTIFS(Lançamentos!$A$2:$A$401,A6,Lançamentos!$G$2:$G$401,"&lt;&gt;Concluído"))</f>
        <v>4</v>
      </c>
      <c r="J6" s="34" t="n">
        <f aca="true">IF(A6="","",COUNTIFS(Lançamentos!$A$2:$A$401,A6,Lançamentos!$G$2:$G$401,"&lt;&gt;Concluído",Lançamentos!$F$2:$F$401,"&lt;"&amp;TODAY()))</f>
        <v>0</v>
      </c>
      <c r="K6" s="29" t="str">
        <f aca="false">IF(A6="","",IF(F6&lt;&gt;"Ativo","⚪ "&amp;F6,IF(J6&gt;0,"🔴 Cobrar equipe",IF(I6&gt;0,"🟡 Em execução","🟢 Em dia"))))</f>
        <v>🟡 Em execução</v>
      </c>
      <c r="L6" s="26"/>
    </row>
    <row r="7" customFormat="false" ht="15" hidden="false" customHeight="false" outlineLevel="0" collapsed="false">
      <c r="A7" s="26" t="s">
        <v>56</v>
      </c>
      <c r="B7" s="26" t="s">
        <v>72</v>
      </c>
      <c r="C7" s="26" t="s">
        <v>39</v>
      </c>
      <c r="D7" s="26" t="s">
        <v>73</v>
      </c>
      <c r="E7" s="27" t="n">
        <v>46152</v>
      </c>
      <c r="F7" s="26" t="s">
        <v>69</v>
      </c>
      <c r="G7" s="34" t="n">
        <f aca="true">IF(OR(A7="",E7=""),"",DATEDIF(E7,TODAY(),"m")+1)</f>
        <v>5</v>
      </c>
      <c r="H7" s="35" t="str">
        <f aca="true">IF(A7="","",IF(_xlfn.MINIFS(Lançamentos!$C$2:$C$401,Lançamentos!$A$2:$A$401,A7,Lançamentos!$C$2:$C$401,"&gt;="&amp;TODAY())=0,"—",_xlfn.MINIFS(Lançamentos!$C$2:$C$401,Lançamentos!$A$2:$A$401,A7,Lançamentos!$C$2:$C$401,"&gt;="&amp;TODAY())))</f>
        <v>—</v>
      </c>
      <c r="I7" s="34" t="n">
        <f aca="false">IF(A7="","",COUNTIFS(Lançamentos!$A$2:$A$401,A7,Lançamentos!$G$2:$G$401,"&lt;&gt;Concluído"))</f>
        <v>1</v>
      </c>
      <c r="J7" s="34" t="n">
        <f aca="true">IF(A7="","",COUNTIFS(Lançamentos!$A$2:$A$401,A7,Lançamentos!$G$2:$G$401,"&lt;&gt;Concluído",Lançamentos!$F$2:$F$401,"&lt;"&amp;TODAY()))</f>
        <v>0</v>
      </c>
      <c r="K7" s="29" t="str">
        <f aca="false">IF(A7="","",IF(F7&lt;&gt;"Ativo","⚪ "&amp;F7,IF(J7&gt;0,"🔴 Cobrar equipe",IF(I7&gt;0,"🟡 Em execução","🟢 Em dia"))))</f>
        <v>🟡 Em execução</v>
      </c>
      <c r="L7" s="26" t="s">
        <v>74</v>
      </c>
    </row>
    <row r="8" customFormat="false" ht="15" hidden="false" customHeight="false" outlineLevel="0" collapsed="false">
      <c r="A8" s="26"/>
      <c r="B8" s="26"/>
      <c r="C8" s="26"/>
      <c r="D8" s="26"/>
      <c r="E8" s="27"/>
      <c r="F8" s="26"/>
      <c r="G8" s="34" t="str">
        <f aca="true">IF(OR(A8="",E8=""),"",DATEDIF(E8,TODAY(),"m")+1)</f>
        <v/>
      </c>
      <c r="H8" s="35" t="str">
        <f aca="true">IF(A8="","",IF(_xlfn.MINIFS(Lançamentos!$C$2:$C$401,Lançamentos!$A$2:$A$401,A8,Lançamentos!$C$2:$C$401,"&gt;="&amp;TODAY())=0,"—",_xlfn.MINIFS(Lançamentos!$C$2:$C$401,Lançamentos!$A$2:$A$401,A8,Lançamentos!$C$2:$C$401,"&gt;="&amp;TODAY())))</f>
        <v/>
      </c>
      <c r="I8" s="34" t="str">
        <f aca="false">IF(A8="","",COUNTIFS(Lançamentos!$A$2:$A$401,A8,Lançamentos!$G$2:$G$401,"&lt;&gt;Concluído"))</f>
        <v/>
      </c>
      <c r="J8" s="34" t="str">
        <f aca="true">IF(A8="","",COUNTIFS(Lançamentos!$A$2:$A$401,A8,Lançamentos!$G$2:$G$401,"&lt;&gt;Concluído",Lançamentos!$F$2:$F$401,"&lt;"&amp;TODAY()))</f>
        <v/>
      </c>
      <c r="K8" s="29" t="str">
        <f aca="false">IF(A8="","",IF(F8&lt;&gt;"Ativo","⚪ "&amp;F8,IF(J8&gt;0,"🔴 Cobrar equipe",IF(I8&gt;0,"🟡 Em execução","🟢 Em dia"))))</f>
        <v/>
      </c>
      <c r="L8" s="26"/>
    </row>
    <row r="9" customFormat="false" ht="15" hidden="false" customHeight="false" outlineLevel="0" collapsed="false">
      <c r="A9" s="26"/>
      <c r="B9" s="26"/>
      <c r="C9" s="26"/>
      <c r="D9" s="26"/>
      <c r="E9" s="27"/>
      <c r="F9" s="26"/>
      <c r="G9" s="34" t="str">
        <f aca="true">IF(OR(A9="",E9=""),"",DATEDIF(E9,TODAY(),"m")+1)</f>
        <v/>
      </c>
      <c r="H9" s="35" t="str">
        <f aca="true">IF(A9="","",IF(_xlfn.MINIFS(Lançamentos!$C$2:$C$401,Lançamentos!$A$2:$A$401,A9,Lançamentos!$C$2:$C$401,"&gt;="&amp;TODAY())=0,"—",_xlfn.MINIFS(Lançamentos!$C$2:$C$401,Lançamentos!$A$2:$A$401,A9,Lançamentos!$C$2:$C$401,"&gt;="&amp;TODAY())))</f>
        <v/>
      </c>
      <c r="I9" s="34" t="str">
        <f aca="false">IF(A9="","",COUNTIFS(Lançamentos!$A$2:$A$401,A9,Lançamentos!$G$2:$G$401,"&lt;&gt;Concluído"))</f>
        <v/>
      </c>
      <c r="J9" s="34" t="str">
        <f aca="true">IF(A9="","",COUNTIFS(Lançamentos!$A$2:$A$401,A9,Lançamentos!$G$2:$G$401,"&lt;&gt;Concluído",Lançamentos!$F$2:$F$401,"&lt;"&amp;TODAY()))</f>
        <v/>
      </c>
      <c r="K9" s="29" t="str">
        <f aca="false">IF(A9="","",IF(F9&lt;&gt;"Ativo","⚪ "&amp;F9,IF(J9&gt;0,"🔴 Cobrar equipe",IF(I9&gt;0,"🟡 Em execução","🟢 Em dia"))))</f>
        <v/>
      </c>
      <c r="L9" s="26"/>
    </row>
    <row r="10" customFormat="false" ht="15" hidden="false" customHeight="false" outlineLevel="0" collapsed="false">
      <c r="A10" s="26"/>
      <c r="B10" s="26"/>
      <c r="C10" s="26"/>
      <c r="D10" s="26"/>
      <c r="E10" s="27"/>
      <c r="F10" s="26"/>
      <c r="G10" s="34" t="str">
        <f aca="true">IF(OR(A10="",E10=""),"",DATEDIF(E10,TODAY(),"m")+1)</f>
        <v/>
      </c>
      <c r="H10" s="35" t="str">
        <f aca="true">IF(A10="","",IF(_xlfn.MINIFS(Lançamentos!$C$2:$C$401,Lançamentos!$A$2:$A$401,A10,Lançamentos!$C$2:$C$401,"&gt;="&amp;TODAY())=0,"—",_xlfn.MINIFS(Lançamentos!$C$2:$C$401,Lançamentos!$A$2:$A$401,A10,Lançamentos!$C$2:$C$401,"&gt;="&amp;TODAY())))</f>
        <v/>
      </c>
      <c r="I10" s="34" t="str">
        <f aca="false">IF(A10="","",COUNTIFS(Lançamentos!$A$2:$A$401,A10,Lançamentos!$G$2:$G$401,"&lt;&gt;Concluído"))</f>
        <v/>
      </c>
      <c r="J10" s="34" t="str">
        <f aca="true">IF(A10="","",COUNTIFS(Lançamentos!$A$2:$A$401,A10,Lançamentos!$G$2:$G$401,"&lt;&gt;Concluído",Lançamentos!$F$2:$F$401,"&lt;"&amp;TODAY()))</f>
        <v/>
      </c>
      <c r="K10" s="29" t="str">
        <f aca="false">IF(A10="","",IF(F10&lt;&gt;"Ativo","⚪ "&amp;F10,IF(J10&gt;0,"🔴 Cobrar equipe",IF(I10&gt;0,"🟡 Em execução","🟢 Em dia"))))</f>
        <v/>
      </c>
      <c r="L10" s="26"/>
    </row>
    <row r="11" customFormat="false" ht="15" hidden="false" customHeight="false" outlineLevel="0" collapsed="false">
      <c r="A11" s="26"/>
      <c r="B11" s="26"/>
      <c r="C11" s="26"/>
      <c r="D11" s="26"/>
      <c r="E11" s="27"/>
      <c r="F11" s="26"/>
      <c r="G11" s="34" t="str">
        <f aca="true">IF(OR(A11="",E11=""),"",DATEDIF(E11,TODAY(),"m")+1)</f>
        <v/>
      </c>
      <c r="H11" s="35" t="str">
        <f aca="true">IF(A11="","",IF(_xlfn.MINIFS(Lançamentos!$C$2:$C$401,Lançamentos!$A$2:$A$401,A11,Lançamentos!$C$2:$C$401,"&gt;="&amp;TODAY())=0,"—",_xlfn.MINIFS(Lançamentos!$C$2:$C$401,Lançamentos!$A$2:$A$401,A11,Lançamentos!$C$2:$C$401,"&gt;="&amp;TODAY())))</f>
        <v/>
      </c>
      <c r="I11" s="34" t="str">
        <f aca="false">IF(A11="","",COUNTIFS(Lançamentos!$A$2:$A$401,A11,Lançamentos!$G$2:$G$401,"&lt;&gt;Concluído"))</f>
        <v/>
      </c>
      <c r="J11" s="34" t="str">
        <f aca="true">IF(A11="","",COUNTIFS(Lançamentos!$A$2:$A$401,A11,Lançamentos!$G$2:$G$401,"&lt;&gt;Concluído",Lançamentos!$F$2:$F$401,"&lt;"&amp;TODAY()))</f>
        <v/>
      </c>
      <c r="K11" s="29" t="str">
        <f aca="false">IF(A11="","",IF(F11&lt;&gt;"Ativo","⚪ "&amp;F11,IF(J11&gt;0,"🔴 Cobrar equipe",IF(I11&gt;0,"🟡 Em execução","🟢 Em dia"))))</f>
        <v/>
      </c>
      <c r="L11" s="26"/>
    </row>
    <row r="12" customFormat="false" ht="15" hidden="false" customHeight="false" outlineLevel="0" collapsed="false">
      <c r="A12" s="26"/>
      <c r="B12" s="26"/>
      <c r="C12" s="26"/>
      <c r="D12" s="26"/>
      <c r="E12" s="27"/>
      <c r="F12" s="26"/>
      <c r="G12" s="34" t="str">
        <f aca="true">IF(OR(A12="",E12=""),"",DATEDIF(E12,TODAY(),"m")+1)</f>
        <v/>
      </c>
      <c r="H12" s="35" t="str">
        <f aca="true">IF(A12="","",IF(_xlfn.MINIFS(Lançamentos!$C$2:$C$401,Lançamentos!$A$2:$A$401,A12,Lançamentos!$C$2:$C$401,"&gt;="&amp;TODAY())=0,"—",_xlfn.MINIFS(Lançamentos!$C$2:$C$401,Lançamentos!$A$2:$A$401,A12,Lançamentos!$C$2:$C$401,"&gt;="&amp;TODAY())))</f>
        <v/>
      </c>
      <c r="I12" s="34" t="str">
        <f aca="false">IF(A12="","",COUNTIFS(Lançamentos!$A$2:$A$401,A12,Lançamentos!$G$2:$G$401,"&lt;&gt;Concluído"))</f>
        <v/>
      </c>
      <c r="J12" s="34" t="str">
        <f aca="true">IF(A12="","",COUNTIFS(Lançamentos!$A$2:$A$401,A12,Lançamentos!$G$2:$G$401,"&lt;&gt;Concluído",Lançamentos!$F$2:$F$401,"&lt;"&amp;TODAY()))</f>
        <v/>
      </c>
      <c r="K12" s="29" t="str">
        <f aca="false">IF(A12="","",IF(F12&lt;&gt;"Ativo","⚪ "&amp;F12,IF(J12&gt;0,"🔴 Cobrar equipe",IF(I12&gt;0,"🟡 Em execução","🟢 Em dia"))))</f>
        <v/>
      </c>
      <c r="L12" s="26"/>
    </row>
    <row r="13" customFormat="false" ht="15" hidden="false" customHeight="false" outlineLevel="0" collapsed="false">
      <c r="A13" s="26"/>
      <c r="B13" s="26"/>
      <c r="C13" s="26"/>
      <c r="D13" s="26"/>
      <c r="E13" s="27"/>
      <c r="F13" s="26"/>
      <c r="G13" s="34" t="str">
        <f aca="true">IF(OR(A13="",E13=""),"",DATEDIF(E13,TODAY(),"m")+1)</f>
        <v/>
      </c>
      <c r="H13" s="35" t="str">
        <f aca="true">IF(A13="","",IF(_xlfn.MINIFS(Lançamentos!$C$2:$C$401,Lançamentos!$A$2:$A$401,A13,Lançamentos!$C$2:$C$401,"&gt;="&amp;TODAY())=0,"—",_xlfn.MINIFS(Lançamentos!$C$2:$C$401,Lançamentos!$A$2:$A$401,A13,Lançamentos!$C$2:$C$401,"&gt;="&amp;TODAY())))</f>
        <v/>
      </c>
      <c r="I13" s="34" t="str">
        <f aca="false">IF(A13="","",COUNTIFS(Lançamentos!$A$2:$A$401,A13,Lançamentos!$G$2:$G$401,"&lt;&gt;Concluído"))</f>
        <v/>
      </c>
      <c r="J13" s="34" t="str">
        <f aca="true">IF(A13="","",COUNTIFS(Lançamentos!$A$2:$A$401,A13,Lançamentos!$G$2:$G$401,"&lt;&gt;Concluído",Lançamentos!$F$2:$F$401,"&lt;"&amp;TODAY()))</f>
        <v/>
      </c>
      <c r="K13" s="29" t="str">
        <f aca="false">IF(A13="","",IF(F13&lt;&gt;"Ativo","⚪ "&amp;F13,IF(J13&gt;0,"🔴 Cobrar equipe",IF(I13&gt;0,"🟡 Em execução","🟢 Em dia"))))</f>
        <v/>
      </c>
      <c r="L13" s="26"/>
    </row>
    <row r="14" customFormat="false" ht="15" hidden="false" customHeight="false" outlineLevel="0" collapsed="false">
      <c r="A14" s="26"/>
      <c r="B14" s="26"/>
      <c r="C14" s="26"/>
      <c r="D14" s="26"/>
      <c r="E14" s="27"/>
      <c r="F14" s="26"/>
      <c r="G14" s="34" t="str">
        <f aca="true">IF(OR(A14="",E14=""),"",DATEDIF(E14,TODAY(),"m")+1)</f>
        <v/>
      </c>
      <c r="H14" s="35" t="str">
        <f aca="true">IF(A14="","",IF(_xlfn.MINIFS(Lançamentos!$C$2:$C$401,Lançamentos!$A$2:$A$401,A14,Lançamentos!$C$2:$C$401,"&gt;="&amp;TODAY())=0,"—",_xlfn.MINIFS(Lançamentos!$C$2:$C$401,Lançamentos!$A$2:$A$401,A14,Lançamentos!$C$2:$C$401,"&gt;="&amp;TODAY())))</f>
        <v/>
      </c>
      <c r="I14" s="34" t="str">
        <f aca="false">IF(A14="","",COUNTIFS(Lançamentos!$A$2:$A$401,A14,Lançamentos!$G$2:$G$401,"&lt;&gt;Concluído"))</f>
        <v/>
      </c>
      <c r="J14" s="34" t="str">
        <f aca="true">IF(A14="","",COUNTIFS(Lançamentos!$A$2:$A$401,A14,Lançamentos!$G$2:$G$401,"&lt;&gt;Concluído",Lançamentos!$F$2:$F$401,"&lt;"&amp;TODAY()))</f>
        <v/>
      </c>
      <c r="K14" s="29" t="str">
        <f aca="false">IF(A14="","",IF(F14&lt;&gt;"Ativo","⚪ "&amp;F14,IF(J14&gt;0,"🔴 Cobrar equipe",IF(I14&gt;0,"🟡 Em execução","🟢 Em dia"))))</f>
        <v/>
      </c>
      <c r="L14" s="26"/>
    </row>
    <row r="15" customFormat="false" ht="15" hidden="false" customHeight="false" outlineLevel="0" collapsed="false">
      <c r="A15" s="26"/>
      <c r="B15" s="26"/>
      <c r="C15" s="26"/>
      <c r="D15" s="26"/>
      <c r="E15" s="27"/>
      <c r="F15" s="26"/>
      <c r="G15" s="34" t="str">
        <f aca="true">IF(OR(A15="",E15=""),"",DATEDIF(E15,TODAY(),"m")+1)</f>
        <v/>
      </c>
      <c r="H15" s="35" t="str">
        <f aca="true">IF(A15="","",IF(_xlfn.MINIFS(Lançamentos!$C$2:$C$401,Lançamentos!$A$2:$A$401,A15,Lançamentos!$C$2:$C$401,"&gt;="&amp;TODAY())=0,"—",_xlfn.MINIFS(Lançamentos!$C$2:$C$401,Lançamentos!$A$2:$A$401,A15,Lançamentos!$C$2:$C$401,"&gt;="&amp;TODAY())))</f>
        <v/>
      </c>
      <c r="I15" s="34" t="str">
        <f aca="false">IF(A15="","",COUNTIFS(Lançamentos!$A$2:$A$401,A15,Lançamentos!$G$2:$G$401,"&lt;&gt;Concluído"))</f>
        <v/>
      </c>
      <c r="J15" s="34" t="str">
        <f aca="true">IF(A15="","",COUNTIFS(Lançamentos!$A$2:$A$401,A15,Lançamentos!$G$2:$G$401,"&lt;&gt;Concluído",Lançamentos!$F$2:$F$401,"&lt;"&amp;TODAY()))</f>
        <v/>
      </c>
      <c r="K15" s="29" t="str">
        <f aca="false">IF(A15="","",IF(F15&lt;&gt;"Ativo","⚪ "&amp;F15,IF(J15&gt;0,"🔴 Cobrar equipe",IF(I15&gt;0,"🟡 Em execução","🟢 Em dia"))))</f>
        <v/>
      </c>
      <c r="L15" s="26"/>
    </row>
    <row r="16" customFormat="false" ht="15" hidden="false" customHeight="false" outlineLevel="0" collapsed="false">
      <c r="A16" s="26"/>
      <c r="B16" s="26"/>
      <c r="C16" s="26"/>
      <c r="D16" s="26"/>
      <c r="E16" s="27"/>
      <c r="F16" s="26"/>
      <c r="G16" s="34" t="str">
        <f aca="true">IF(OR(A16="",E16=""),"",DATEDIF(E16,TODAY(),"m")+1)</f>
        <v/>
      </c>
      <c r="H16" s="35" t="str">
        <f aca="true">IF(A16="","",IF(_xlfn.MINIFS(Lançamentos!$C$2:$C$401,Lançamentos!$A$2:$A$401,A16,Lançamentos!$C$2:$C$401,"&gt;="&amp;TODAY())=0,"—",_xlfn.MINIFS(Lançamentos!$C$2:$C$401,Lançamentos!$A$2:$A$401,A16,Lançamentos!$C$2:$C$401,"&gt;="&amp;TODAY())))</f>
        <v/>
      </c>
      <c r="I16" s="34" t="str">
        <f aca="false">IF(A16="","",COUNTIFS(Lançamentos!$A$2:$A$401,A16,Lançamentos!$G$2:$G$401,"&lt;&gt;Concluído"))</f>
        <v/>
      </c>
      <c r="J16" s="34" t="str">
        <f aca="true">IF(A16="","",COUNTIFS(Lançamentos!$A$2:$A$401,A16,Lançamentos!$G$2:$G$401,"&lt;&gt;Concluído",Lançamentos!$F$2:$F$401,"&lt;"&amp;TODAY()))</f>
        <v/>
      </c>
      <c r="K16" s="29" t="str">
        <f aca="false">IF(A16="","",IF(F16&lt;&gt;"Ativo","⚪ "&amp;F16,IF(J16&gt;0,"🔴 Cobrar equipe",IF(I16&gt;0,"🟡 Em execução","🟢 Em dia"))))</f>
        <v/>
      </c>
      <c r="L16" s="26"/>
    </row>
    <row r="17" customFormat="false" ht="15" hidden="false" customHeight="false" outlineLevel="0" collapsed="false">
      <c r="A17" s="26"/>
      <c r="B17" s="26"/>
      <c r="C17" s="26"/>
      <c r="D17" s="26"/>
      <c r="E17" s="27"/>
      <c r="F17" s="26"/>
      <c r="G17" s="34" t="str">
        <f aca="true">IF(OR(A17="",E17=""),"",DATEDIF(E17,TODAY(),"m")+1)</f>
        <v/>
      </c>
      <c r="H17" s="35" t="str">
        <f aca="true">IF(A17="","",IF(_xlfn.MINIFS(Lançamentos!$C$2:$C$401,Lançamentos!$A$2:$A$401,A17,Lançamentos!$C$2:$C$401,"&gt;="&amp;TODAY())=0,"—",_xlfn.MINIFS(Lançamentos!$C$2:$C$401,Lançamentos!$A$2:$A$401,A17,Lançamentos!$C$2:$C$401,"&gt;="&amp;TODAY())))</f>
        <v/>
      </c>
      <c r="I17" s="34" t="str">
        <f aca="false">IF(A17="","",COUNTIFS(Lançamentos!$A$2:$A$401,A17,Lançamentos!$G$2:$G$401,"&lt;&gt;Concluído"))</f>
        <v/>
      </c>
      <c r="J17" s="34" t="str">
        <f aca="true">IF(A17="","",COUNTIFS(Lançamentos!$A$2:$A$401,A17,Lançamentos!$G$2:$G$401,"&lt;&gt;Concluído",Lançamentos!$F$2:$F$401,"&lt;"&amp;TODAY()))</f>
        <v/>
      </c>
      <c r="K17" s="29" t="str">
        <f aca="false">IF(A17="","",IF(F17&lt;&gt;"Ativo","⚪ "&amp;F17,IF(J17&gt;0,"🔴 Cobrar equipe",IF(I17&gt;0,"🟡 Em execução","🟢 Em dia"))))</f>
        <v/>
      </c>
      <c r="L17" s="26"/>
    </row>
    <row r="18" customFormat="false" ht="15" hidden="false" customHeight="false" outlineLevel="0" collapsed="false">
      <c r="A18" s="26"/>
      <c r="B18" s="26"/>
      <c r="C18" s="26"/>
      <c r="D18" s="26"/>
      <c r="E18" s="27"/>
      <c r="F18" s="26"/>
      <c r="G18" s="34" t="str">
        <f aca="true">IF(OR(A18="",E18=""),"",DATEDIF(E18,TODAY(),"m")+1)</f>
        <v/>
      </c>
      <c r="H18" s="35" t="str">
        <f aca="true">IF(A18="","",IF(_xlfn.MINIFS(Lançamentos!$C$2:$C$401,Lançamentos!$A$2:$A$401,A18,Lançamentos!$C$2:$C$401,"&gt;="&amp;TODAY())=0,"—",_xlfn.MINIFS(Lançamentos!$C$2:$C$401,Lançamentos!$A$2:$A$401,A18,Lançamentos!$C$2:$C$401,"&gt;="&amp;TODAY())))</f>
        <v/>
      </c>
      <c r="I18" s="34" t="str">
        <f aca="false">IF(A18="","",COUNTIFS(Lançamentos!$A$2:$A$401,A18,Lançamentos!$G$2:$G$401,"&lt;&gt;Concluído"))</f>
        <v/>
      </c>
      <c r="J18" s="34" t="str">
        <f aca="true">IF(A18="","",COUNTIFS(Lançamentos!$A$2:$A$401,A18,Lançamentos!$G$2:$G$401,"&lt;&gt;Concluído",Lançamentos!$F$2:$F$401,"&lt;"&amp;TODAY()))</f>
        <v/>
      </c>
      <c r="K18" s="29" t="str">
        <f aca="false">IF(A18="","",IF(F18&lt;&gt;"Ativo","⚪ "&amp;F18,IF(J18&gt;0,"🔴 Cobrar equipe",IF(I18&gt;0,"🟡 Em execução","🟢 Em dia"))))</f>
        <v/>
      </c>
      <c r="L18" s="26"/>
    </row>
    <row r="19" customFormat="false" ht="15" hidden="false" customHeight="false" outlineLevel="0" collapsed="false">
      <c r="A19" s="26"/>
      <c r="B19" s="26"/>
      <c r="C19" s="26"/>
      <c r="D19" s="26"/>
      <c r="E19" s="27"/>
      <c r="F19" s="26"/>
      <c r="G19" s="34" t="str">
        <f aca="true">IF(OR(A19="",E19=""),"",DATEDIF(E19,TODAY(),"m")+1)</f>
        <v/>
      </c>
      <c r="H19" s="35" t="str">
        <f aca="true">IF(A19="","",IF(_xlfn.MINIFS(Lançamentos!$C$2:$C$401,Lançamentos!$A$2:$A$401,A19,Lançamentos!$C$2:$C$401,"&gt;="&amp;TODAY())=0,"—",_xlfn.MINIFS(Lançamentos!$C$2:$C$401,Lançamentos!$A$2:$A$401,A19,Lançamentos!$C$2:$C$401,"&gt;="&amp;TODAY())))</f>
        <v/>
      </c>
      <c r="I19" s="34" t="str">
        <f aca="false">IF(A19="","",COUNTIFS(Lançamentos!$A$2:$A$401,A19,Lançamentos!$G$2:$G$401,"&lt;&gt;Concluído"))</f>
        <v/>
      </c>
      <c r="J19" s="34" t="str">
        <f aca="true">IF(A19="","",COUNTIFS(Lançamentos!$A$2:$A$401,A19,Lançamentos!$G$2:$G$401,"&lt;&gt;Concluído",Lançamentos!$F$2:$F$401,"&lt;"&amp;TODAY()))</f>
        <v/>
      </c>
      <c r="K19" s="29" t="str">
        <f aca="false">IF(A19="","",IF(F19&lt;&gt;"Ativo","⚪ "&amp;F19,IF(J19&gt;0,"🔴 Cobrar equipe",IF(I19&gt;0,"🟡 Em execução","🟢 Em dia"))))</f>
        <v/>
      </c>
      <c r="L19" s="26"/>
    </row>
    <row r="20" customFormat="false" ht="15" hidden="false" customHeight="false" outlineLevel="0" collapsed="false">
      <c r="A20" s="26"/>
      <c r="B20" s="26"/>
      <c r="C20" s="26"/>
      <c r="D20" s="26"/>
      <c r="E20" s="27"/>
      <c r="F20" s="26"/>
      <c r="G20" s="34" t="str">
        <f aca="true">IF(OR(A20="",E20=""),"",DATEDIF(E20,TODAY(),"m")+1)</f>
        <v/>
      </c>
      <c r="H20" s="35" t="str">
        <f aca="true">IF(A20="","",IF(_xlfn.MINIFS(Lançamentos!$C$2:$C$401,Lançamentos!$A$2:$A$401,A20,Lançamentos!$C$2:$C$401,"&gt;="&amp;TODAY())=0,"—",_xlfn.MINIFS(Lançamentos!$C$2:$C$401,Lançamentos!$A$2:$A$401,A20,Lançamentos!$C$2:$C$401,"&gt;="&amp;TODAY())))</f>
        <v/>
      </c>
      <c r="I20" s="34" t="str">
        <f aca="false">IF(A20="","",COUNTIFS(Lançamentos!$A$2:$A$401,A20,Lançamentos!$G$2:$G$401,"&lt;&gt;Concluído"))</f>
        <v/>
      </c>
      <c r="J20" s="34" t="str">
        <f aca="true">IF(A20="","",COUNTIFS(Lançamentos!$A$2:$A$401,A20,Lançamentos!$G$2:$G$401,"&lt;&gt;Concluído",Lançamentos!$F$2:$F$401,"&lt;"&amp;TODAY()))</f>
        <v/>
      </c>
      <c r="K20" s="29" t="str">
        <f aca="false">IF(A20="","",IF(F20&lt;&gt;"Ativo","⚪ "&amp;F20,IF(J20&gt;0,"🔴 Cobrar equipe",IF(I20&gt;0,"🟡 Em execução","🟢 Em dia"))))</f>
        <v/>
      </c>
      <c r="L20" s="26"/>
    </row>
    <row r="21" customFormat="false" ht="15" hidden="false" customHeight="false" outlineLevel="0" collapsed="false">
      <c r="A21" s="26"/>
      <c r="B21" s="26"/>
      <c r="C21" s="26"/>
      <c r="D21" s="26"/>
      <c r="E21" s="27"/>
      <c r="F21" s="26"/>
      <c r="G21" s="34" t="str">
        <f aca="true">IF(OR(A21="",E21=""),"",DATEDIF(E21,TODAY(),"m")+1)</f>
        <v/>
      </c>
      <c r="H21" s="35" t="str">
        <f aca="true">IF(A21="","",IF(_xlfn.MINIFS(Lançamentos!$C$2:$C$401,Lançamentos!$A$2:$A$401,A21,Lançamentos!$C$2:$C$401,"&gt;="&amp;TODAY())=0,"—",_xlfn.MINIFS(Lançamentos!$C$2:$C$401,Lançamentos!$A$2:$A$401,A21,Lançamentos!$C$2:$C$401,"&gt;="&amp;TODAY())))</f>
        <v/>
      </c>
      <c r="I21" s="34" t="str">
        <f aca="false">IF(A21="","",COUNTIFS(Lançamentos!$A$2:$A$401,A21,Lançamentos!$G$2:$G$401,"&lt;&gt;Concluído"))</f>
        <v/>
      </c>
      <c r="J21" s="34" t="str">
        <f aca="true">IF(A21="","",COUNTIFS(Lançamentos!$A$2:$A$401,A21,Lançamentos!$G$2:$G$401,"&lt;&gt;Concluído",Lançamentos!$F$2:$F$401,"&lt;"&amp;TODAY()))</f>
        <v/>
      </c>
      <c r="K21" s="29" t="str">
        <f aca="false">IF(A21="","",IF(F21&lt;&gt;"Ativo","⚪ "&amp;F21,IF(J21&gt;0,"🔴 Cobrar equipe",IF(I21&gt;0,"🟡 Em execução","🟢 Em dia"))))</f>
        <v/>
      </c>
      <c r="L21" s="26"/>
    </row>
    <row r="22" customFormat="false" ht="15" hidden="false" customHeight="false" outlineLevel="0" collapsed="false">
      <c r="A22" s="26"/>
      <c r="B22" s="26"/>
      <c r="C22" s="26"/>
      <c r="D22" s="26"/>
      <c r="E22" s="27"/>
      <c r="F22" s="26"/>
      <c r="G22" s="34" t="str">
        <f aca="true">IF(OR(A22="",E22=""),"",DATEDIF(E22,TODAY(),"m")+1)</f>
        <v/>
      </c>
      <c r="H22" s="35" t="str">
        <f aca="true">IF(A22="","",IF(_xlfn.MINIFS(Lançamentos!$C$2:$C$401,Lançamentos!$A$2:$A$401,A22,Lançamentos!$C$2:$C$401,"&gt;="&amp;TODAY())=0,"—",_xlfn.MINIFS(Lançamentos!$C$2:$C$401,Lançamentos!$A$2:$A$401,A22,Lançamentos!$C$2:$C$401,"&gt;="&amp;TODAY())))</f>
        <v/>
      </c>
      <c r="I22" s="34" t="str">
        <f aca="false">IF(A22="","",COUNTIFS(Lançamentos!$A$2:$A$401,A22,Lançamentos!$G$2:$G$401,"&lt;&gt;Concluído"))</f>
        <v/>
      </c>
      <c r="J22" s="34" t="str">
        <f aca="true">IF(A22="","",COUNTIFS(Lançamentos!$A$2:$A$401,A22,Lançamentos!$G$2:$G$401,"&lt;&gt;Concluído",Lançamentos!$F$2:$F$401,"&lt;"&amp;TODAY()))</f>
        <v/>
      </c>
      <c r="K22" s="29" t="str">
        <f aca="false">IF(A22="","",IF(F22&lt;&gt;"Ativo","⚪ "&amp;F22,IF(J22&gt;0,"🔴 Cobrar equipe",IF(I22&gt;0,"🟡 Em execução","🟢 Em dia"))))</f>
        <v/>
      </c>
      <c r="L22" s="26"/>
    </row>
    <row r="23" customFormat="false" ht="15" hidden="false" customHeight="false" outlineLevel="0" collapsed="false">
      <c r="A23" s="26"/>
      <c r="B23" s="26"/>
      <c r="C23" s="26"/>
      <c r="D23" s="26"/>
      <c r="E23" s="27"/>
      <c r="F23" s="26"/>
      <c r="G23" s="34" t="str">
        <f aca="true">IF(OR(A23="",E23=""),"",DATEDIF(E23,TODAY(),"m")+1)</f>
        <v/>
      </c>
      <c r="H23" s="35" t="str">
        <f aca="true">IF(A23="","",IF(_xlfn.MINIFS(Lançamentos!$C$2:$C$401,Lançamentos!$A$2:$A$401,A23,Lançamentos!$C$2:$C$401,"&gt;="&amp;TODAY())=0,"—",_xlfn.MINIFS(Lançamentos!$C$2:$C$401,Lançamentos!$A$2:$A$401,A23,Lançamentos!$C$2:$C$401,"&gt;="&amp;TODAY())))</f>
        <v/>
      </c>
      <c r="I23" s="34" t="str">
        <f aca="false">IF(A23="","",COUNTIFS(Lançamentos!$A$2:$A$401,A23,Lançamentos!$G$2:$G$401,"&lt;&gt;Concluído"))</f>
        <v/>
      </c>
      <c r="J23" s="34" t="str">
        <f aca="true">IF(A23="","",COUNTIFS(Lançamentos!$A$2:$A$401,A23,Lançamentos!$G$2:$G$401,"&lt;&gt;Concluído",Lançamentos!$F$2:$F$401,"&lt;"&amp;TODAY()))</f>
        <v/>
      </c>
      <c r="K23" s="29" t="str">
        <f aca="false">IF(A23="","",IF(F23&lt;&gt;"Ativo","⚪ "&amp;F23,IF(J23&gt;0,"🔴 Cobrar equipe",IF(I23&gt;0,"🟡 Em execução","🟢 Em dia"))))</f>
        <v/>
      </c>
      <c r="L23" s="26"/>
    </row>
    <row r="24" customFormat="false" ht="15" hidden="false" customHeight="false" outlineLevel="0" collapsed="false">
      <c r="A24" s="26"/>
      <c r="B24" s="26"/>
      <c r="C24" s="26"/>
      <c r="D24" s="26"/>
      <c r="E24" s="27"/>
      <c r="F24" s="26"/>
      <c r="G24" s="34" t="str">
        <f aca="true">IF(OR(A24="",E24=""),"",DATEDIF(E24,TODAY(),"m")+1)</f>
        <v/>
      </c>
      <c r="H24" s="35" t="str">
        <f aca="true">IF(A24="","",IF(_xlfn.MINIFS(Lançamentos!$C$2:$C$401,Lançamentos!$A$2:$A$401,A24,Lançamentos!$C$2:$C$401,"&gt;="&amp;TODAY())=0,"—",_xlfn.MINIFS(Lançamentos!$C$2:$C$401,Lançamentos!$A$2:$A$401,A24,Lançamentos!$C$2:$C$401,"&gt;="&amp;TODAY())))</f>
        <v/>
      </c>
      <c r="I24" s="34" t="str">
        <f aca="false">IF(A24="","",COUNTIFS(Lançamentos!$A$2:$A$401,A24,Lançamentos!$G$2:$G$401,"&lt;&gt;Concluído"))</f>
        <v/>
      </c>
      <c r="J24" s="34" t="str">
        <f aca="true">IF(A24="","",COUNTIFS(Lançamentos!$A$2:$A$401,A24,Lançamentos!$G$2:$G$401,"&lt;&gt;Concluído",Lançamentos!$F$2:$F$401,"&lt;"&amp;TODAY()))</f>
        <v/>
      </c>
      <c r="K24" s="29" t="str">
        <f aca="false">IF(A24="","",IF(F24&lt;&gt;"Ativo","⚪ "&amp;F24,IF(J24&gt;0,"🔴 Cobrar equipe",IF(I24&gt;0,"🟡 Em execução","🟢 Em dia"))))</f>
        <v/>
      </c>
      <c r="L24" s="26"/>
    </row>
    <row r="25" customFormat="false" ht="15" hidden="false" customHeight="false" outlineLevel="0" collapsed="false">
      <c r="A25" s="26"/>
      <c r="B25" s="26"/>
      <c r="C25" s="26"/>
      <c r="D25" s="26"/>
      <c r="E25" s="27"/>
      <c r="F25" s="26"/>
      <c r="G25" s="34" t="str">
        <f aca="true">IF(OR(A25="",E25=""),"",DATEDIF(E25,TODAY(),"m")+1)</f>
        <v/>
      </c>
      <c r="H25" s="35" t="str">
        <f aca="true">IF(A25="","",IF(_xlfn.MINIFS(Lançamentos!$C$2:$C$401,Lançamentos!$A$2:$A$401,A25,Lançamentos!$C$2:$C$401,"&gt;="&amp;TODAY())=0,"—",_xlfn.MINIFS(Lançamentos!$C$2:$C$401,Lançamentos!$A$2:$A$401,A25,Lançamentos!$C$2:$C$401,"&gt;="&amp;TODAY())))</f>
        <v/>
      </c>
      <c r="I25" s="34" t="str">
        <f aca="false">IF(A25="","",COUNTIFS(Lançamentos!$A$2:$A$401,A25,Lançamentos!$G$2:$G$401,"&lt;&gt;Concluído"))</f>
        <v/>
      </c>
      <c r="J25" s="34" t="str">
        <f aca="true">IF(A25="","",COUNTIFS(Lançamentos!$A$2:$A$401,A25,Lançamentos!$G$2:$G$401,"&lt;&gt;Concluído",Lançamentos!$F$2:$F$401,"&lt;"&amp;TODAY()))</f>
        <v/>
      </c>
      <c r="K25" s="29" t="str">
        <f aca="false">IF(A25="","",IF(F25&lt;&gt;"Ativo","⚪ "&amp;F25,IF(J25&gt;0,"🔴 Cobrar equipe",IF(I25&gt;0,"🟡 Em execução","🟢 Em dia"))))</f>
        <v/>
      </c>
      <c r="L25" s="26"/>
    </row>
    <row r="26" customFormat="false" ht="15" hidden="false" customHeight="false" outlineLevel="0" collapsed="false">
      <c r="A26" s="26"/>
      <c r="B26" s="26"/>
      <c r="C26" s="26"/>
      <c r="D26" s="26"/>
      <c r="E26" s="27"/>
      <c r="F26" s="26"/>
      <c r="G26" s="34" t="str">
        <f aca="true">IF(OR(A26="",E26=""),"",DATEDIF(E26,TODAY(),"m")+1)</f>
        <v/>
      </c>
      <c r="H26" s="35" t="str">
        <f aca="true">IF(A26="","",IF(_xlfn.MINIFS(Lançamentos!$C$2:$C$401,Lançamentos!$A$2:$A$401,A26,Lançamentos!$C$2:$C$401,"&gt;="&amp;TODAY())=0,"—",_xlfn.MINIFS(Lançamentos!$C$2:$C$401,Lançamentos!$A$2:$A$401,A26,Lançamentos!$C$2:$C$401,"&gt;="&amp;TODAY())))</f>
        <v/>
      </c>
      <c r="I26" s="34" t="str">
        <f aca="false">IF(A26="","",COUNTIFS(Lançamentos!$A$2:$A$401,A26,Lançamentos!$G$2:$G$401,"&lt;&gt;Concluído"))</f>
        <v/>
      </c>
      <c r="J26" s="34" t="str">
        <f aca="true">IF(A26="","",COUNTIFS(Lançamentos!$A$2:$A$401,A26,Lançamentos!$G$2:$G$401,"&lt;&gt;Concluído",Lançamentos!$F$2:$F$401,"&lt;"&amp;TODAY()))</f>
        <v/>
      </c>
      <c r="K26" s="29" t="str">
        <f aca="false">IF(A26="","",IF(F26&lt;&gt;"Ativo","⚪ "&amp;F26,IF(J26&gt;0,"🔴 Cobrar equipe",IF(I26&gt;0,"🟡 Em execução","🟢 Em dia"))))</f>
        <v/>
      </c>
      <c r="L26" s="26"/>
    </row>
    <row r="27" customFormat="false" ht="15" hidden="false" customHeight="false" outlineLevel="0" collapsed="false">
      <c r="A27" s="26"/>
      <c r="B27" s="26"/>
      <c r="C27" s="26"/>
      <c r="D27" s="26"/>
      <c r="E27" s="27"/>
      <c r="F27" s="26"/>
      <c r="G27" s="34" t="str">
        <f aca="true">IF(OR(A27="",E27=""),"",DATEDIF(E27,TODAY(),"m")+1)</f>
        <v/>
      </c>
      <c r="H27" s="35" t="str">
        <f aca="true">IF(A27="","",IF(_xlfn.MINIFS(Lançamentos!$C$2:$C$401,Lançamentos!$A$2:$A$401,A27,Lançamentos!$C$2:$C$401,"&gt;="&amp;TODAY())=0,"—",_xlfn.MINIFS(Lançamentos!$C$2:$C$401,Lançamentos!$A$2:$A$401,A27,Lançamentos!$C$2:$C$401,"&gt;="&amp;TODAY())))</f>
        <v/>
      </c>
      <c r="I27" s="34" t="str">
        <f aca="false">IF(A27="","",COUNTIFS(Lançamentos!$A$2:$A$401,A27,Lançamentos!$G$2:$G$401,"&lt;&gt;Concluído"))</f>
        <v/>
      </c>
      <c r="J27" s="34" t="str">
        <f aca="true">IF(A27="","",COUNTIFS(Lançamentos!$A$2:$A$401,A27,Lançamentos!$G$2:$G$401,"&lt;&gt;Concluído",Lançamentos!$F$2:$F$401,"&lt;"&amp;TODAY()))</f>
        <v/>
      </c>
      <c r="K27" s="29" t="str">
        <f aca="false">IF(A27="","",IF(F27&lt;&gt;"Ativo","⚪ "&amp;F27,IF(J27&gt;0,"🔴 Cobrar equipe",IF(I27&gt;0,"🟡 Em execução","🟢 Em dia"))))</f>
        <v/>
      </c>
      <c r="L27" s="26"/>
    </row>
    <row r="28" customFormat="false" ht="15" hidden="false" customHeight="false" outlineLevel="0" collapsed="false">
      <c r="A28" s="26"/>
      <c r="B28" s="26"/>
      <c r="C28" s="26"/>
      <c r="D28" s="26"/>
      <c r="E28" s="27"/>
      <c r="F28" s="26"/>
      <c r="G28" s="34" t="str">
        <f aca="true">IF(OR(A28="",E28=""),"",DATEDIF(E28,TODAY(),"m")+1)</f>
        <v/>
      </c>
      <c r="H28" s="35" t="str">
        <f aca="true">IF(A28="","",IF(_xlfn.MINIFS(Lançamentos!$C$2:$C$401,Lançamentos!$A$2:$A$401,A28,Lançamentos!$C$2:$C$401,"&gt;="&amp;TODAY())=0,"—",_xlfn.MINIFS(Lançamentos!$C$2:$C$401,Lançamentos!$A$2:$A$401,A28,Lançamentos!$C$2:$C$401,"&gt;="&amp;TODAY())))</f>
        <v/>
      </c>
      <c r="I28" s="34" t="str">
        <f aca="false">IF(A28="","",COUNTIFS(Lançamentos!$A$2:$A$401,A28,Lançamentos!$G$2:$G$401,"&lt;&gt;Concluído"))</f>
        <v/>
      </c>
      <c r="J28" s="34" t="str">
        <f aca="true">IF(A28="","",COUNTIFS(Lançamentos!$A$2:$A$401,A28,Lançamentos!$G$2:$G$401,"&lt;&gt;Concluído",Lançamentos!$F$2:$F$401,"&lt;"&amp;TODAY()))</f>
        <v/>
      </c>
      <c r="K28" s="29" t="str">
        <f aca="false">IF(A28="","",IF(F28&lt;&gt;"Ativo","⚪ "&amp;F28,IF(J28&gt;0,"🔴 Cobrar equipe",IF(I28&gt;0,"🟡 Em execução","🟢 Em dia"))))</f>
        <v/>
      </c>
      <c r="L28" s="26"/>
    </row>
    <row r="29" customFormat="false" ht="15" hidden="false" customHeight="false" outlineLevel="0" collapsed="false">
      <c r="A29" s="26"/>
      <c r="B29" s="26"/>
      <c r="C29" s="26"/>
      <c r="D29" s="26"/>
      <c r="E29" s="27"/>
      <c r="F29" s="26"/>
      <c r="G29" s="34" t="str">
        <f aca="true">IF(OR(A29="",E29=""),"",DATEDIF(E29,TODAY(),"m")+1)</f>
        <v/>
      </c>
      <c r="H29" s="35" t="str">
        <f aca="true">IF(A29="","",IF(_xlfn.MINIFS(Lançamentos!$C$2:$C$401,Lançamentos!$A$2:$A$401,A29,Lançamentos!$C$2:$C$401,"&gt;="&amp;TODAY())=0,"—",_xlfn.MINIFS(Lançamentos!$C$2:$C$401,Lançamentos!$A$2:$A$401,A29,Lançamentos!$C$2:$C$401,"&gt;="&amp;TODAY())))</f>
        <v/>
      </c>
      <c r="I29" s="34" t="str">
        <f aca="false">IF(A29="","",COUNTIFS(Lançamentos!$A$2:$A$401,A29,Lançamentos!$G$2:$G$401,"&lt;&gt;Concluído"))</f>
        <v/>
      </c>
      <c r="J29" s="34" t="str">
        <f aca="true">IF(A29="","",COUNTIFS(Lançamentos!$A$2:$A$401,A29,Lançamentos!$G$2:$G$401,"&lt;&gt;Concluído",Lançamentos!$F$2:$F$401,"&lt;"&amp;TODAY()))</f>
        <v/>
      </c>
      <c r="K29" s="29" t="str">
        <f aca="false">IF(A29="","",IF(F29&lt;&gt;"Ativo","⚪ "&amp;F29,IF(J29&gt;0,"🔴 Cobrar equipe",IF(I29&gt;0,"🟡 Em execução","🟢 Em dia"))))</f>
        <v/>
      </c>
      <c r="L29" s="26"/>
    </row>
    <row r="30" customFormat="false" ht="15" hidden="false" customHeight="false" outlineLevel="0" collapsed="false">
      <c r="A30" s="26"/>
      <c r="B30" s="26"/>
      <c r="C30" s="26"/>
      <c r="D30" s="26"/>
      <c r="E30" s="27"/>
      <c r="F30" s="26"/>
      <c r="G30" s="34" t="str">
        <f aca="true">IF(OR(A30="",E30=""),"",DATEDIF(E30,TODAY(),"m")+1)</f>
        <v/>
      </c>
      <c r="H30" s="35" t="str">
        <f aca="true">IF(A30="","",IF(_xlfn.MINIFS(Lançamentos!$C$2:$C$401,Lançamentos!$A$2:$A$401,A30,Lançamentos!$C$2:$C$401,"&gt;="&amp;TODAY())=0,"—",_xlfn.MINIFS(Lançamentos!$C$2:$C$401,Lançamentos!$A$2:$A$401,A30,Lançamentos!$C$2:$C$401,"&gt;="&amp;TODAY())))</f>
        <v/>
      </c>
      <c r="I30" s="34" t="str">
        <f aca="false">IF(A30="","",COUNTIFS(Lançamentos!$A$2:$A$401,A30,Lançamentos!$G$2:$G$401,"&lt;&gt;Concluído"))</f>
        <v/>
      </c>
      <c r="J30" s="34" t="str">
        <f aca="true">IF(A30="","",COUNTIFS(Lançamentos!$A$2:$A$401,A30,Lançamentos!$G$2:$G$401,"&lt;&gt;Concluído",Lançamentos!$F$2:$F$401,"&lt;"&amp;TODAY()))</f>
        <v/>
      </c>
      <c r="K30" s="29" t="str">
        <f aca="false">IF(A30="","",IF(F30&lt;&gt;"Ativo","⚪ "&amp;F30,IF(J30&gt;0,"🔴 Cobrar equipe",IF(I30&gt;0,"🟡 Em execução","🟢 Em dia"))))</f>
        <v/>
      </c>
      <c r="L30" s="26"/>
    </row>
    <row r="31" customFormat="false" ht="15" hidden="false" customHeight="false" outlineLevel="0" collapsed="false">
      <c r="A31" s="26"/>
      <c r="B31" s="26"/>
      <c r="C31" s="26"/>
      <c r="D31" s="26"/>
      <c r="E31" s="27"/>
      <c r="F31" s="26"/>
      <c r="G31" s="34" t="str">
        <f aca="true">IF(OR(A31="",E31=""),"",DATEDIF(E31,TODAY(),"m")+1)</f>
        <v/>
      </c>
      <c r="H31" s="35" t="str">
        <f aca="true">IF(A31="","",IF(_xlfn.MINIFS(Lançamentos!$C$2:$C$401,Lançamentos!$A$2:$A$401,A31,Lançamentos!$C$2:$C$401,"&gt;="&amp;TODAY())=0,"—",_xlfn.MINIFS(Lançamentos!$C$2:$C$401,Lançamentos!$A$2:$A$401,A31,Lançamentos!$C$2:$C$401,"&gt;="&amp;TODAY())))</f>
        <v/>
      </c>
      <c r="I31" s="34" t="str">
        <f aca="false">IF(A31="","",COUNTIFS(Lançamentos!$A$2:$A$401,A31,Lançamentos!$G$2:$G$401,"&lt;&gt;Concluído"))</f>
        <v/>
      </c>
      <c r="J31" s="34" t="str">
        <f aca="true">IF(A31="","",COUNTIFS(Lançamentos!$A$2:$A$401,A31,Lançamentos!$G$2:$G$401,"&lt;&gt;Concluído",Lançamentos!$F$2:$F$401,"&lt;"&amp;TODAY()))</f>
        <v/>
      </c>
      <c r="K31" s="29" t="str">
        <f aca="false">IF(A31="","",IF(F31&lt;&gt;"Ativo","⚪ "&amp;F31,IF(J31&gt;0,"🔴 Cobrar equipe",IF(I31&gt;0,"🟡 Em execução","🟢 Em dia"))))</f>
        <v/>
      </c>
      <c r="L31" s="26"/>
    </row>
    <row r="32" customFormat="false" ht="15" hidden="false" customHeight="false" outlineLevel="0" collapsed="false">
      <c r="A32" s="26"/>
      <c r="B32" s="26"/>
      <c r="C32" s="26"/>
      <c r="D32" s="26"/>
      <c r="E32" s="27"/>
      <c r="F32" s="26"/>
      <c r="G32" s="34" t="str">
        <f aca="true">IF(OR(A32="",E32=""),"",DATEDIF(E32,TODAY(),"m")+1)</f>
        <v/>
      </c>
      <c r="H32" s="35" t="str">
        <f aca="true">IF(A32="","",IF(_xlfn.MINIFS(Lançamentos!$C$2:$C$401,Lançamentos!$A$2:$A$401,A32,Lançamentos!$C$2:$C$401,"&gt;="&amp;TODAY())=0,"—",_xlfn.MINIFS(Lançamentos!$C$2:$C$401,Lançamentos!$A$2:$A$401,A32,Lançamentos!$C$2:$C$401,"&gt;="&amp;TODAY())))</f>
        <v/>
      </c>
      <c r="I32" s="34" t="str">
        <f aca="false">IF(A32="","",COUNTIFS(Lançamentos!$A$2:$A$401,A32,Lançamentos!$G$2:$G$401,"&lt;&gt;Concluído"))</f>
        <v/>
      </c>
      <c r="J32" s="34" t="str">
        <f aca="true">IF(A32="","",COUNTIFS(Lançamentos!$A$2:$A$401,A32,Lançamentos!$G$2:$G$401,"&lt;&gt;Concluído",Lançamentos!$F$2:$F$401,"&lt;"&amp;TODAY()))</f>
        <v/>
      </c>
      <c r="K32" s="29" t="str">
        <f aca="false">IF(A32="","",IF(F32&lt;&gt;"Ativo","⚪ "&amp;F32,IF(J32&gt;0,"🔴 Cobrar equipe",IF(I32&gt;0,"🟡 Em execução","🟢 Em dia"))))</f>
        <v/>
      </c>
      <c r="L32" s="26"/>
    </row>
    <row r="33" customFormat="false" ht="15" hidden="false" customHeight="false" outlineLevel="0" collapsed="false">
      <c r="A33" s="26"/>
      <c r="B33" s="26"/>
      <c r="C33" s="26"/>
      <c r="D33" s="26"/>
      <c r="E33" s="27"/>
      <c r="F33" s="26"/>
      <c r="G33" s="34" t="str">
        <f aca="true">IF(OR(A33="",E33=""),"",DATEDIF(E33,TODAY(),"m")+1)</f>
        <v/>
      </c>
      <c r="H33" s="35" t="str">
        <f aca="true">IF(A33="","",IF(_xlfn.MINIFS(Lançamentos!$C$2:$C$401,Lançamentos!$A$2:$A$401,A33,Lançamentos!$C$2:$C$401,"&gt;="&amp;TODAY())=0,"—",_xlfn.MINIFS(Lançamentos!$C$2:$C$401,Lançamentos!$A$2:$A$401,A33,Lançamentos!$C$2:$C$401,"&gt;="&amp;TODAY())))</f>
        <v/>
      </c>
      <c r="I33" s="34" t="str">
        <f aca="false">IF(A33="","",COUNTIFS(Lançamentos!$A$2:$A$401,A33,Lançamentos!$G$2:$G$401,"&lt;&gt;Concluído"))</f>
        <v/>
      </c>
      <c r="J33" s="34" t="str">
        <f aca="true">IF(A33="","",COUNTIFS(Lançamentos!$A$2:$A$401,A33,Lançamentos!$G$2:$G$401,"&lt;&gt;Concluído",Lançamentos!$F$2:$F$401,"&lt;"&amp;TODAY()))</f>
        <v/>
      </c>
      <c r="K33" s="29" t="str">
        <f aca="false">IF(A33="","",IF(F33&lt;&gt;"Ativo","⚪ "&amp;F33,IF(J33&gt;0,"🔴 Cobrar equipe",IF(I33&gt;0,"🟡 Em execução","🟢 Em dia"))))</f>
        <v/>
      </c>
      <c r="L33" s="26"/>
    </row>
    <row r="34" customFormat="false" ht="15" hidden="false" customHeight="false" outlineLevel="0" collapsed="false">
      <c r="A34" s="26"/>
      <c r="B34" s="26"/>
      <c r="C34" s="26"/>
      <c r="D34" s="26"/>
      <c r="E34" s="27"/>
      <c r="F34" s="26"/>
      <c r="G34" s="34" t="str">
        <f aca="true">IF(OR(A34="",E34=""),"",DATEDIF(E34,TODAY(),"m")+1)</f>
        <v/>
      </c>
      <c r="H34" s="35" t="str">
        <f aca="true">IF(A34="","",IF(_xlfn.MINIFS(Lançamentos!$C$2:$C$401,Lançamentos!$A$2:$A$401,A34,Lançamentos!$C$2:$C$401,"&gt;="&amp;TODAY())=0,"—",_xlfn.MINIFS(Lançamentos!$C$2:$C$401,Lançamentos!$A$2:$A$401,A34,Lançamentos!$C$2:$C$401,"&gt;="&amp;TODAY())))</f>
        <v/>
      </c>
      <c r="I34" s="34" t="str">
        <f aca="false">IF(A34="","",COUNTIFS(Lançamentos!$A$2:$A$401,A34,Lançamentos!$G$2:$G$401,"&lt;&gt;Concluído"))</f>
        <v/>
      </c>
      <c r="J34" s="34" t="str">
        <f aca="true">IF(A34="","",COUNTIFS(Lançamentos!$A$2:$A$401,A34,Lançamentos!$G$2:$G$401,"&lt;&gt;Concluído",Lançamentos!$F$2:$F$401,"&lt;"&amp;TODAY()))</f>
        <v/>
      </c>
      <c r="K34" s="29" t="str">
        <f aca="false">IF(A34="","",IF(F34&lt;&gt;"Ativo","⚪ "&amp;F34,IF(J34&gt;0,"🔴 Cobrar equipe",IF(I34&gt;0,"🟡 Em execução","🟢 Em dia"))))</f>
        <v/>
      </c>
      <c r="L34" s="26"/>
    </row>
    <row r="35" customFormat="false" ht="15" hidden="false" customHeight="false" outlineLevel="0" collapsed="false">
      <c r="A35" s="26"/>
      <c r="B35" s="26"/>
      <c r="C35" s="26"/>
      <c r="D35" s="26"/>
      <c r="E35" s="27"/>
      <c r="F35" s="26"/>
      <c r="G35" s="34" t="str">
        <f aca="true">IF(OR(A35="",E35=""),"",DATEDIF(E35,TODAY(),"m")+1)</f>
        <v/>
      </c>
      <c r="H35" s="35" t="str">
        <f aca="true">IF(A35="","",IF(_xlfn.MINIFS(Lançamentos!$C$2:$C$401,Lançamentos!$A$2:$A$401,A35,Lançamentos!$C$2:$C$401,"&gt;="&amp;TODAY())=0,"—",_xlfn.MINIFS(Lançamentos!$C$2:$C$401,Lançamentos!$A$2:$A$401,A35,Lançamentos!$C$2:$C$401,"&gt;="&amp;TODAY())))</f>
        <v/>
      </c>
      <c r="I35" s="34" t="str">
        <f aca="false">IF(A35="","",COUNTIFS(Lançamentos!$A$2:$A$401,A35,Lançamentos!$G$2:$G$401,"&lt;&gt;Concluído"))</f>
        <v/>
      </c>
      <c r="J35" s="34" t="str">
        <f aca="true">IF(A35="","",COUNTIFS(Lançamentos!$A$2:$A$401,A35,Lançamentos!$G$2:$G$401,"&lt;&gt;Concluído",Lançamentos!$F$2:$F$401,"&lt;"&amp;TODAY()))</f>
        <v/>
      </c>
      <c r="K35" s="29" t="str">
        <f aca="false">IF(A35="","",IF(F35&lt;&gt;"Ativo","⚪ "&amp;F35,IF(J35&gt;0,"🔴 Cobrar equipe",IF(I35&gt;0,"🟡 Em execução","🟢 Em dia"))))</f>
        <v/>
      </c>
      <c r="L35" s="26"/>
    </row>
    <row r="36" customFormat="false" ht="15" hidden="false" customHeight="false" outlineLevel="0" collapsed="false">
      <c r="A36" s="26"/>
      <c r="B36" s="26"/>
      <c r="C36" s="26"/>
      <c r="D36" s="26"/>
      <c r="E36" s="27"/>
      <c r="F36" s="26"/>
      <c r="G36" s="34" t="str">
        <f aca="true">IF(OR(A36="",E36=""),"",DATEDIF(E36,TODAY(),"m")+1)</f>
        <v/>
      </c>
      <c r="H36" s="35" t="str">
        <f aca="true">IF(A36="","",IF(_xlfn.MINIFS(Lançamentos!$C$2:$C$401,Lançamentos!$A$2:$A$401,A36,Lançamentos!$C$2:$C$401,"&gt;="&amp;TODAY())=0,"—",_xlfn.MINIFS(Lançamentos!$C$2:$C$401,Lançamentos!$A$2:$A$401,A36,Lançamentos!$C$2:$C$401,"&gt;="&amp;TODAY())))</f>
        <v/>
      </c>
      <c r="I36" s="34" t="str">
        <f aca="false">IF(A36="","",COUNTIFS(Lançamentos!$A$2:$A$401,A36,Lançamentos!$G$2:$G$401,"&lt;&gt;Concluído"))</f>
        <v/>
      </c>
      <c r="J36" s="34" t="str">
        <f aca="true">IF(A36="","",COUNTIFS(Lançamentos!$A$2:$A$401,A36,Lançamentos!$G$2:$G$401,"&lt;&gt;Concluído",Lançamentos!$F$2:$F$401,"&lt;"&amp;TODAY()))</f>
        <v/>
      </c>
      <c r="K36" s="29" t="str">
        <f aca="false">IF(A36="","",IF(F36&lt;&gt;"Ativo","⚪ "&amp;F36,IF(J36&gt;0,"🔴 Cobrar equipe",IF(I36&gt;0,"🟡 Em execução","🟢 Em dia"))))</f>
        <v/>
      </c>
      <c r="L36" s="26"/>
    </row>
    <row r="37" customFormat="false" ht="15" hidden="false" customHeight="false" outlineLevel="0" collapsed="false">
      <c r="A37" s="26"/>
      <c r="B37" s="26"/>
      <c r="C37" s="26"/>
      <c r="D37" s="26"/>
      <c r="E37" s="27"/>
      <c r="F37" s="26"/>
      <c r="G37" s="34" t="str">
        <f aca="true">IF(OR(A37="",E37=""),"",DATEDIF(E37,TODAY(),"m")+1)</f>
        <v/>
      </c>
      <c r="H37" s="35" t="str">
        <f aca="true">IF(A37="","",IF(_xlfn.MINIFS(Lançamentos!$C$2:$C$401,Lançamentos!$A$2:$A$401,A37,Lançamentos!$C$2:$C$401,"&gt;="&amp;TODAY())=0,"—",_xlfn.MINIFS(Lançamentos!$C$2:$C$401,Lançamentos!$A$2:$A$401,A37,Lançamentos!$C$2:$C$401,"&gt;="&amp;TODAY())))</f>
        <v/>
      </c>
      <c r="I37" s="34" t="str">
        <f aca="false">IF(A37="","",COUNTIFS(Lançamentos!$A$2:$A$401,A37,Lançamentos!$G$2:$G$401,"&lt;&gt;Concluído"))</f>
        <v/>
      </c>
      <c r="J37" s="34" t="str">
        <f aca="true">IF(A37="","",COUNTIFS(Lançamentos!$A$2:$A$401,A37,Lançamentos!$G$2:$G$401,"&lt;&gt;Concluído",Lançamentos!$F$2:$F$401,"&lt;"&amp;TODAY()))</f>
        <v/>
      </c>
      <c r="K37" s="29" t="str">
        <f aca="false">IF(A37="","",IF(F37&lt;&gt;"Ativo","⚪ "&amp;F37,IF(J37&gt;0,"🔴 Cobrar equipe",IF(I37&gt;0,"🟡 Em execução","🟢 Em dia"))))</f>
        <v/>
      </c>
      <c r="L37" s="26"/>
    </row>
    <row r="38" customFormat="false" ht="15" hidden="false" customHeight="false" outlineLevel="0" collapsed="false">
      <c r="A38" s="26"/>
      <c r="B38" s="26"/>
      <c r="C38" s="26"/>
      <c r="D38" s="26"/>
      <c r="E38" s="27"/>
      <c r="F38" s="26"/>
      <c r="G38" s="34" t="str">
        <f aca="true">IF(OR(A38="",E38=""),"",DATEDIF(E38,TODAY(),"m")+1)</f>
        <v/>
      </c>
      <c r="H38" s="35" t="str">
        <f aca="true">IF(A38="","",IF(_xlfn.MINIFS(Lançamentos!$C$2:$C$401,Lançamentos!$A$2:$A$401,A38,Lançamentos!$C$2:$C$401,"&gt;="&amp;TODAY())=0,"—",_xlfn.MINIFS(Lançamentos!$C$2:$C$401,Lançamentos!$A$2:$A$401,A38,Lançamentos!$C$2:$C$401,"&gt;="&amp;TODAY())))</f>
        <v/>
      </c>
      <c r="I38" s="34" t="str">
        <f aca="false">IF(A38="","",COUNTIFS(Lançamentos!$A$2:$A$401,A38,Lançamentos!$G$2:$G$401,"&lt;&gt;Concluído"))</f>
        <v/>
      </c>
      <c r="J38" s="34" t="str">
        <f aca="true">IF(A38="","",COUNTIFS(Lançamentos!$A$2:$A$401,A38,Lançamentos!$G$2:$G$401,"&lt;&gt;Concluído",Lançamentos!$F$2:$F$401,"&lt;"&amp;TODAY()))</f>
        <v/>
      </c>
      <c r="K38" s="29" t="str">
        <f aca="false">IF(A38="","",IF(F38&lt;&gt;"Ativo","⚪ "&amp;F38,IF(J38&gt;0,"🔴 Cobrar equipe",IF(I38&gt;0,"🟡 Em execução","🟢 Em dia"))))</f>
        <v/>
      </c>
      <c r="L38" s="26"/>
    </row>
    <row r="39" customFormat="false" ht="15" hidden="false" customHeight="false" outlineLevel="0" collapsed="false">
      <c r="A39" s="26"/>
      <c r="B39" s="26"/>
      <c r="C39" s="26"/>
      <c r="D39" s="26"/>
      <c r="E39" s="27"/>
      <c r="F39" s="26"/>
      <c r="G39" s="34" t="str">
        <f aca="true">IF(OR(A39="",E39=""),"",DATEDIF(E39,TODAY(),"m")+1)</f>
        <v/>
      </c>
      <c r="H39" s="35" t="str">
        <f aca="true">IF(A39="","",IF(_xlfn.MINIFS(Lançamentos!$C$2:$C$401,Lançamentos!$A$2:$A$401,A39,Lançamentos!$C$2:$C$401,"&gt;="&amp;TODAY())=0,"—",_xlfn.MINIFS(Lançamentos!$C$2:$C$401,Lançamentos!$A$2:$A$401,A39,Lançamentos!$C$2:$C$401,"&gt;="&amp;TODAY())))</f>
        <v/>
      </c>
      <c r="I39" s="34" t="str">
        <f aca="false">IF(A39="","",COUNTIFS(Lançamentos!$A$2:$A$401,A39,Lançamentos!$G$2:$G$401,"&lt;&gt;Concluído"))</f>
        <v/>
      </c>
      <c r="J39" s="34" t="str">
        <f aca="true">IF(A39="","",COUNTIFS(Lançamentos!$A$2:$A$401,A39,Lançamentos!$G$2:$G$401,"&lt;&gt;Concluído",Lançamentos!$F$2:$F$401,"&lt;"&amp;TODAY()))</f>
        <v/>
      </c>
      <c r="K39" s="29" t="str">
        <f aca="false">IF(A39="","",IF(F39&lt;&gt;"Ativo","⚪ "&amp;F39,IF(J39&gt;0,"🔴 Cobrar equipe",IF(I39&gt;0,"🟡 Em execução","🟢 Em dia"))))</f>
        <v/>
      </c>
      <c r="L39" s="26"/>
    </row>
    <row r="40" customFormat="false" ht="15" hidden="false" customHeight="false" outlineLevel="0" collapsed="false">
      <c r="A40" s="26"/>
      <c r="B40" s="26"/>
      <c r="C40" s="26"/>
      <c r="D40" s="26"/>
      <c r="E40" s="27"/>
      <c r="F40" s="26"/>
      <c r="G40" s="34" t="str">
        <f aca="true">IF(OR(A40="",E40=""),"",DATEDIF(E40,TODAY(),"m")+1)</f>
        <v/>
      </c>
      <c r="H40" s="35" t="str">
        <f aca="true">IF(A40="","",IF(_xlfn.MINIFS(Lançamentos!$C$2:$C$401,Lançamentos!$A$2:$A$401,A40,Lançamentos!$C$2:$C$401,"&gt;="&amp;TODAY())=0,"—",_xlfn.MINIFS(Lançamentos!$C$2:$C$401,Lançamentos!$A$2:$A$401,A40,Lançamentos!$C$2:$C$401,"&gt;="&amp;TODAY())))</f>
        <v/>
      </c>
      <c r="I40" s="34" t="str">
        <f aca="false">IF(A40="","",COUNTIFS(Lançamentos!$A$2:$A$401,A40,Lançamentos!$G$2:$G$401,"&lt;&gt;Concluído"))</f>
        <v/>
      </c>
      <c r="J40" s="34" t="str">
        <f aca="true">IF(A40="","",COUNTIFS(Lançamentos!$A$2:$A$401,A40,Lançamentos!$G$2:$G$401,"&lt;&gt;Concluído",Lançamentos!$F$2:$F$401,"&lt;"&amp;TODAY()))</f>
        <v/>
      </c>
      <c r="K40" s="29" t="str">
        <f aca="false">IF(A40="","",IF(F40&lt;&gt;"Ativo","⚪ "&amp;F40,IF(J40&gt;0,"🔴 Cobrar equipe",IF(I40&gt;0,"🟡 Em execução","🟢 Em dia"))))</f>
        <v/>
      </c>
      <c r="L40" s="26"/>
    </row>
    <row r="41" customFormat="false" ht="15" hidden="false" customHeight="false" outlineLevel="0" collapsed="false">
      <c r="A41" s="26"/>
      <c r="B41" s="26"/>
      <c r="C41" s="26"/>
      <c r="D41" s="26"/>
      <c r="E41" s="27"/>
      <c r="F41" s="26"/>
      <c r="G41" s="34" t="str">
        <f aca="true">IF(OR(A41="",E41=""),"",DATEDIF(E41,TODAY(),"m")+1)</f>
        <v/>
      </c>
      <c r="H41" s="35" t="str">
        <f aca="true">IF(A41="","",IF(_xlfn.MINIFS(Lançamentos!$C$2:$C$401,Lançamentos!$A$2:$A$401,A41,Lançamentos!$C$2:$C$401,"&gt;="&amp;TODAY())=0,"—",_xlfn.MINIFS(Lançamentos!$C$2:$C$401,Lançamentos!$A$2:$A$401,A41,Lançamentos!$C$2:$C$401,"&gt;="&amp;TODAY())))</f>
        <v/>
      </c>
      <c r="I41" s="34" t="str">
        <f aca="false">IF(A41="","",COUNTIFS(Lançamentos!$A$2:$A$401,A41,Lançamentos!$G$2:$G$401,"&lt;&gt;Concluído"))</f>
        <v/>
      </c>
      <c r="J41" s="34" t="str">
        <f aca="true">IF(A41="","",COUNTIFS(Lançamentos!$A$2:$A$401,A41,Lançamentos!$G$2:$G$401,"&lt;&gt;Concluído",Lançamentos!$F$2:$F$401,"&lt;"&amp;TODAY()))</f>
        <v/>
      </c>
      <c r="K41" s="29" t="str">
        <f aca="false">IF(A41="","",IF(F41&lt;&gt;"Ativo","⚪ "&amp;F41,IF(J41&gt;0,"🔴 Cobrar equipe",IF(I41&gt;0,"🟡 Em execução","🟢 Em dia"))))</f>
        <v/>
      </c>
      <c r="L41" s="26"/>
    </row>
    <row r="42" customFormat="false" ht="15" hidden="false" customHeight="false" outlineLevel="0" collapsed="false">
      <c r="A42" s="26"/>
      <c r="B42" s="26"/>
      <c r="C42" s="26"/>
      <c r="D42" s="26"/>
      <c r="E42" s="27"/>
      <c r="F42" s="26"/>
      <c r="G42" s="34" t="str">
        <f aca="true">IF(OR(A42="",E42=""),"",DATEDIF(E42,TODAY(),"m")+1)</f>
        <v/>
      </c>
      <c r="H42" s="35" t="str">
        <f aca="true">IF(A42="","",IF(_xlfn.MINIFS(Lançamentos!$C$2:$C$401,Lançamentos!$A$2:$A$401,A42,Lançamentos!$C$2:$C$401,"&gt;="&amp;TODAY())=0,"—",_xlfn.MINIFS(Lançamentos!$C$2:$C$401,Lançamentos!$A$2:$A$401,A42,Lançamentos!$C$2:$C$401,"&gt;="&amp;TODAY())))</f>
        <v/>
      </c>
      <c r="I42" s="34" t="str">
        <f aca="false">IF(A42="","",COUNTIFS(Lançamentos!$A$2:$A$401,A42,Lançamentos!$G$2:$G$401,"&lt;&gt;Concluído"))</f>
        <v/>
      </c>
      <c r="J42" s="34" t="str">
        <f aca="true">IF(A42="","",COUNTIFS(Lançamentos!$A$2:$A$401,A42,Lançamentos!$G$2:$G$401,"&lt;&gt;Concluído",Lançamentos!$F$2:$F$401,"&lt;"&amp;TODAY()))</f>
        <v/>
      </c>
      <c r="K42" s="29" t="str">
        <f aca="false">IF(A42="","",IF(F42&lt;&gt;"Ativo","⚪ "&amp;F42,IF(J42&gt;0,"🔴 Cobrar equipe",IF(I42&gt;0,"🟡 Em execução","🟢 Em dia"))))</f>
        <v/>
      </c>
      <c r="L42" s="26"/>
    </row>
    <row r="43" customFormat="false" ht="15" hidden="false" customHeight="false" outlineLevel="0" collapsed="false">
      <c r="A43" s="26"/>
      <c r="B43" s="26"/>
      <c r="C43" s="26"/>
      <c r="D43" s="26"/>
      <c r="E43" s="27"/>
      <c r="F43" s="26"/>
      <c r="G43" s="34" t="str">
        <f aca="true">IF(OR(A43="",E43=""),"",DATEDIF(E43,TODAY(),"m")+1)</f>
        <v/>
      </c>
      <c r="H43" s="35" t="str">
        <f aca="true">IF(A43="","",IF(_xlfn.MINIFS(Lançamentos!$C$2:$C$401,Lançamentos!$A$2:$A$401,A43,Lançamentos!$C$2:$C$401,"&gt;="&amp;TODAY())=0,"—",_xlfn.MINIFS(Lançamentos!$C$2:$C$401,Lançamentos!$A$2:$A$401,A43,Lançamentos!$C$2:$C$401,"&gt;="&amp;TODAY())))</f>
        <v/>
      </c>
      <c r="I43" s="34" t="str">
        <f aca="false">IF(A43="","",COUNTIFS(Lançamentos!$A$2:$A$401,A43,Lançamentos!$G$2:$G$401,"&lt;&gt;Concluído"))</f>
        <v/>
      </c>
      <c r="J43" s="34" t="str">
        <f aca="true">IF(A43="","",COUNTIFS(Lançamentos!$A$2:$A$401,A43,Lançamentos!$G$2:$G$401,"&lt;&gt;Concluído",Lançamentos!$F$2:$F$401,"&lt;"&amp;TODAY()))</f>
        <v/>
      </c>
      <c r="K43" s="29" t="str">
        <f aca="false">IF(A43="","",IF(F43&lt;&gt;"Ativo","⚪ "&amp;F43,IF(J43&gt;0,"🔴 Cobrar equipe",IF(I43&gt;0,"🟡 Em execução","🟢 Em dia"))))</f>
        <v/>
      </c>
      <c r="L43" s="26"/>
    </row>
    <row r="44" customFormat="false" ht="15" hidden="false" customHeight="false" outlineLevel="0" collapsed="false">
      <c r="A44" s="26"/>
      <c r="B44" s="26"/>
      <c r="C44" s="26"/>
      <c r="D44" s="26"/>
      <c r="E44" s="27"/>
      <c r="F44" s="26"/>
      <c r="G44" s="34" t="str">
        <f aca="true">IF(OR(A44="",E44=""),"",DATEDIF(E44,TODAY(),"m")+1)</f>
        <v/>
      </c>
      <c r="H44" s="35" t="str">
        <f aca="true">IF(A44="","",IF(_xlfn.MINIFS(Lançamentos!$C$2:$C$401,Lançamentos!$A$2:$A$401,A44,Lançamentos!$C$2:$C$401,"&gt;="&amp;TODAY())=0,"—",_xlfn.MINIFS(Lançamentos!$C$2:$C$401,Lançamentos!$A$2:$A$401,A44,Lançamentos!$C$2:$C$401,"&gt;="&amp;TODAY())))</f>
        <v/>
      </c>
      <c r="I44" s="34" t="str">
        <f aca="false">IF(A44="","",COUNTIFS(Lançamentos!$A$2:$A$401,A44,Lançamentos!$G$2:$G$401,"&lt;&gt;Concluído"))</f>
        <v/>
      </c>
      <c r="J44" s="34" t="str">
        <f aca="true">IF(A44="","",COUNTIFS(Lançamentos!$A$2:$A$401,A44,Lançamentos!$G$2:$G$401,"&lt;&gt;Concluído",Lançamentos!$F$2:$F$401,"&lt;"&amp;TODAY()))</f>
        <v/>
      </c>
      <c r="K44" s="29" t="str">
        <f aca="false">IF(A44="","",IF(F44&lt;&gt;"Ativo","⚪ "&amp;F44,IF(J44&gt;0,"🔴 Cobrar equipe",IF(I44&gt;0,"🟡 Em execução","🟢 Em dia"))))</f>
        <v/>
      </c>
      <c r="L44" s="26"/>
    </row>
    <row r="45" customFormat="false" ht="15" hidden="false" customHeight="false" outlineLevel="0" collapsed="false">
      <c r="A45" s="26"/>
      <c r="B45" s="26"/>
      <c r="C45" s="26"/>
      <c r="D45" s="26"/>
      <c r="E45" s="27"/>
      <c r="F45" s="26"/>
      <c r="G45" s="34" t="str">
        <f aca="true">IF(OR(A45="",E45=""),"",DATEDIF(E45,TODAY(),"m")+1)</f>
        <v/>
      </c>
      <c r="H45" s="35" t="str">
        <f aca="true">IF(A45="","",IF(_xlfn.MINIFS(Lançamentos!$C$2:$C$401,Lançamentos!$A$2:$A$401,A45,Lançamentos!$C$2:$C$401,"&gt;="&amp;TODAY())=0,"—",_xlfn.MINIFS(Lançamentos!$C$2:$C$401,Lançamentos!$A$2:$A$401,A45,Lançamentos!$C$2:$C$401,"&gt;="&amp;TODAY())))</f>
        <v/>
      </c>
      <c r="I45" s="34" t="str">
        <f aca="false">IF(A45="","",COUNTIFS(Lançamentos!$A$2:$A$401,A45,Lançamentos!$G$2:$G$401,"&lt;&gt;Concluído"))</f>
        <v/>
      </c>
      <c r="J45" s="34" t="str">
        <f aca="true">IF(A45="","",COUNTIFS(Lançamentos!$A$2:$A$401,A45,Lançamentos!$G$2:$G$401,"&lt;&gt;Concluído",Lançamentos!$F$2:$F$401,"&lt;"&amp;TODAY()))</f>
        <v/>
      </c>
      <c r="K45" s="29" t="str">
        <f aca="false">IF(A45="","",IF(F45&lt;&gt;"Ativo","⚪ "&amp;F45,IF(J45&gt;0,"🔴 Cobrar equipe",IF(I45&gt;0,"🟡 Em execução","🟢 Em dia"))))</f>
        <v/>
      </c>
      <c r="L45" s="26"/>
    </row>
    <row r="46" customFormat="false" ht="15" hidden="false" customHeight="false" outlineLevel="0" collapsed="false">
      <c r="A46" s="26"/>
      <c r="B46" s="26"/>
      <c r="C46" s="26"/>
      <c r="D46" s="26"/>
      <c r="E46" s="27"/>
      <c r="F46" s="26"/>
      <c r="G46" s="34" t="str">
        <f aca="true">IF(OR(A46="",E46=""),"",DATEDIF(E46,TODAY(),"m")+1)</f>
        <v/>
      </c>
      <c r="H46" s="35" t="str">
        <f aca="true">IF(A46="","",IF(_xlfn.MINIFS(Lançamentos!$C$2:$C$401,Lançamentos!$A$2:$A$401,A46,Lançamentos!$C$2:$C$401,"&gt;="&amp;TODAY())=0,"—",_xlfn.MINIFS(Lançamentos!$C$2:$C$401,Lançamentos!$A$2:$A$401,A46,Lançamentos!$C$2:$C$401,"&gt;="&amp;TODAY())))</f>
        <v/>
      </c>
      <c r="I46" s="34" t="str">
        <f aca="false">IF(A46="","",COUNTIFS(Lançamentos!$A$2:$A$401,A46,Lançamentos!$G$2:$G$401,"&lt;&gt;Concluído"))</f>
        <v/>
      </c>
      <c r="J46" s="34" t="str">
        <f aca="true">IF(A46="","",COUNTIFS(Lançamentos!$A$2:$A$401,A46,Lançamentos!$G$2:$G$401,"&lt;&gt;Concluído",Lançamentos!$F$2:$F$401,"&lt;"&amp;TODAY()))</f>
        <v/>
      </c>
      <c r="K46" s="29" t="str">
        <f aca="false">IF(A46="","",IF(F46&lt;&gt;"Ativo","⚪ "&amp;F46,IF(J46&gt;0,"🔴 Cobrar equipe",IF(I46&gt;0,"🟡 Em execução","🟢 Em dia"))))</f>
        <v/>
      </c>
      <c r="L46" s="26"/>
    </row>
    <row r="47" customFormat="false" ht="15" hidden="false" customHeight="false" outlineLevel="0" collapsed="false">
      <c r="A47" s="26"/>
      <c r="B47" s="26"/>
      <c r="C47" s="26"/>
      <c r="D47" s="26"/>
      <c r="E47" s="27"/>
      <c r="F47" s="26"/>
      <c r="G47" s="34" t="str">
        <f aca="true">IF(OR(A47="",E47=""),"",DATEDIF(E47,TODAY(),"m")+1)</f>
        <v/>
      </c>
      <c r="H47" s="35" t="str">
        <f aca="true">IF(A47="","",IF(_xlfn.MINIFS(Lançamentos!$C$2:$C$401,Lançamentos!$A$2:$A$401,A47,Lançamentos!$C$2:$C$401,"&gt;="&amp;TODAY())=0,"—",_xlfn.MINIFS(Lançamentos!$C$2:$C$401,Lançamentos!$A$2:$A$401,A47,Lançamentos!$C$2:$C$401,"&gt;="&amp;TODAY())))</f>
        <v/>
      </c>
      <c r="I47" s="34" t="str">
        <f aca="false">IF(A47="","",COUNTIFS(Lançamentos!$A$2:$A$401,A47,Lançamentos!$G$2:$G$401,"&lt;&gt;Concluído"))</f>
        <v/>
      </c>
      <c r="J47" s="34" t="str">
        <f aca="true">IF(A47="","",COUNTIFS(Lançamentos!$A$2:$A$401,A47,Lançamentos!$G$2:$G$401,"&lt;&gt;Concluído",Lançamentos!$F$2:$F$401,"&lt;"&amp;TODAY()))</f>
        <v/>
      </c>
      <c r="K47" s="29" t="str">
        <f aca="false">IF(A47="","",IF(F47&lt;&gt;"Ativo","⚪ "&amp;F47,IF(J47&gt;0,"🔴 Cobrar equipe",IF(I47&gt;0,"🟡 Em execução","🟢 Em dia"))))</f>
        <v/>
      </c>
      <c r="L47" s="26"/>
    </row>
    <row r="48" customFormat="false" ht="15" hidden="false" customHeight="false" outlineLevel="0" collapsed="false">
      <c r="A48" s="26"/>
      <c r="B48" s="26"/>
      <c r="C48" s="26"/>
      <c r="D48" s="26"/>
      <c r="E48" s="27"/>
      <c r="F48" s="26"/>
      <c r="G48" s="34" t="str">
        <f aca="true">IF(OR(A48="",E48=""),"",DATEDIF(E48,TODAY(),"m")+1)</f>
        <v/>
      </c>
      <c r="H48" s="35" t="str">
        <f aca="true">IF(A48="","",IF(_xlfn.MINIFS(Lançamentos!$C$2:$C$401,Lançamentos!$A$2:$A$401,A48,Lançamentos!$C$2:$C$401,"&gt;="&amp;TODAY())=0,"—",_xlfn.MINIFS(Lançamentos!$C$2:$C$401,Lançamentos!$A$2:$A$401,A48,Lançamentos!$C$2:$C$401,"&gt;="&amp;TODAY())))</f>
        <v/>
      </c>
      <c r="I48" s="34" t="str">
        <f aca="false">IF(A48="","",COUNTIFS(Lançamentos!$A$2:$A$401,A48,Lançamentos!$G$2:$G$401,"&lt;&gt;Concluído"))</f>
        <v/>
      </c>
      <c r="J48" s="34" t="str">
        <f aca="true">IF(A48="","",COUNTIFS(Lançamentos!$A$2:$A$401,A48,Lançamentos!$G$2:$G$401,"&lt;&gt;Concluído",Lançamentos!$F$2:$F$401,"&lt;"&amp;TODAY()))</f>
        <v/>
      </c>
      <c r="K48" s="29" t="str">
        <f aca="false">IF(A48="","",IF(F48&lt;&gt;"Ativo","⚪ "&amp;F48,IF(J48&gt;0,"🔴 Cobrar equipe",IF(I48&gt;0,"🟡 Em execução","🟢 Em dia"))))</f>
        <v/>
      </c>
      <c r="L48" s="26"/>
    </row>
    <row r="49" customFormat="false" ht="15" hidden="false" customHeight="false" outlineLevel="0" collapsed="false">
      <c r="A49" s="26"/>
      <c r="B49" s="26"/>
      <c r="C49" s="26"/>
      <c r="D49" s="26"/>
      <c r="E49" s="27"/>
      <c r="F49" s="26"/>
      <c r="G49" s="34" t="str">
        <f aca="true">IF(OR(A49="",E49=""),"",DATEDIF(E49,TODAY(),"m")+1)</f>
        <v/>
      </c>
      <c r="H49" s="35" t="str">
        <f aca="true">IF(A49="","",IF(_xlfn.MINIFS(Lançamentos!$C$2:$C$401,Lançamentos!$A$2:$A$401,A49,Lançamentos!$C$2:$C$401,"&gt;="&amp;TODAY())=0,"—",_xlfn.MINIFS(Lançamentos!$C$2:$C$401,Lançamentos!$A$2:$A$401,A49,Lançamentos!$C$2:$C$401,"&gt;="&amp;TODAY())))</f>
        <v/>
      </c>
      <c r="I49" s="34" t="str">
        <f aca="false">IF(A49="","",COUNTIFS(Lançamentos!$A$2:$A$401,A49,Lançamentos!$G$2:$G$401,"&lt;&gt;Concluído"))</f>
        <v/>
      </c>
      <c r="J49" s="34" t="str">
        <f aca="true">IF(A49="","",COUNTIFS(Lançamentos!$A$2:$A$401,A49,Lançamentos!$G$2:$G$401,"&lt;&gt;Concluído",Lançamentos!$F$2:$F$401,"&lt;"&amp;TODAY()))</f>
        <v/>
      </c>
      <c r="K49" s="29" t="str">
        <f aca="false">IF(A49="","",IF(F49&lt;&gt;"Ativo","⚪ "&amp;F49,IF(J49&gt;0,"🔴 Cobrar equipe",IF(I49&gt;0,"🟡 Em execução","🟢 Em dia"))))</f>
        <v/>
      </c>
      <c r="L49" s="26"/>
    </row>
    <row r="50" customFormat="false" ht="15" hidden="false" customHeight="false" outlineLevel="0" collapsed="false">
      <c r="A50" s="26"/>
      <c r="B50" s="26"/>
      <c r="C50" s="26"/>
      <c r="D50" s="26"/>
      <c r="E50" s="27"/>
      <c r="F50" s="26"/>
      <c r="G50" s="34" t="str">
        <f aca="true">IF(OR(A50="",E50=""),"",DATEDIF(E50,TODAY(),"m")+1)</f>
        <v/>
      </c>
      <c r="H50" s="35" t="str">
        <f aca="true">IF(A50="","",IF(_xlfn.MINIFS(Lançamentos!$C$2:$C$401,Lançamentos!$A$2:$A$401,A50,Lançamentos!$C$2:$C$401,"&gt;="&amp;TODAY())=0,"—",_xlfn.MINIFS(Lançamentos!$C$2:$C$401,Lançamentos!$A$2:$A$401,A50,Lançamentos!$C$2:$C$401,"&gt;="&amp;TODAY())))</f>
        <v/>
      </c>
      <c r="I50" s="34" t="str">
        <f aca="false">IF(A50="","",COUNTIFS(Lançamentos!$A$2:$A$401,A50,Lançamentos!$G$2:$G$401,"&lt;&gt;Concluído"))</f>
        <v/>
      </c>
      <c r="J50" s="34" t="str">
        <f aca="true">IF(A50="","",COUNTIFS(Lançamentos!$A$2:$A$401,A50,Lançamentos!$G$2:$G$401,"&lt;&gt;Concluído",Lançamentos!$F$2:$F$401,"&lt;"&amp;TODAY()))</f>
        <v/>
      </c>
      <c r="K50" s="29" t="str">
        <f aca="false">IF(A50="","",IF(F50&lt;&gt;"Ativo","⚪ "&amp;F50,IF(J50&gt;0,"🔴 Cobrar equipe",IF(I50&gt;0,"🟡 Em execução","🟢 Em dia"))))</f>
        <v/>
      </c>
      <c r="L50" s="26"/>
    </row>
    <row r="51" customFormat="false" ht="15" hidden="false" customHeight="false" outlineLevel="0" collapsed="false">
      <c r="A51" s="26"/>
      <c r="B51" s="26"/>
      <c r="C51" s="26"/>
      <c r="D51" s="26"/>
      <c r="E51" s="27"/>
      <c r="F51" s="26"/>
      <c r="G51" s="34" t="str">
        <f aca="true">IF(OR(A51="",E51=""),"",DATEDIF(E51,TODAY(),"m")+1)</f>
        <v/>
      </c>
      <c r="H51" s="35" t="str">
        <f aca="true">IF(A51="","",IF(_xlfn.MINIFS(Lançamentos!$C$2:$C$401,Lançamentos!$A$2:$A$401,A51,Lançamentos!$C$2:$C$401,"&gt;="&amp;TODAY())=0,"—",_xlfn.MINIFS(Lançamentos!$C$2:$C$401,Lançamentos!$A$2:$A$401,A51,Lançamentos!$C$2:$C$401,"&gt;="&amp;TODAY())))</f>
        <v/>
      </c>
      <c r="I51" s="34" t="str">
        <f aca="false">IF(A51="","",COUNTIFS(Lançamentos!$A$2:$A$401,A51,Lançamentos!$G$2:$G$401,"&lt;&gt;Concluído"))</f>
        <v/>
      </c>
      <c r="J51" s="34" t="str">
        <f aca="true">IF(A51="","",COUNTIFS(Lançamentos!$A$2:$A$401,A51,Lançamentos!$G$2:$G$401,"&lt;&gt;Concluído",Lançamentos!$F$2:$F$401,"&lt;"&amp;TODAY()))</f>
        <v/>
      </c>
      <c r="K51" s="29" t="str">
        <f aca="false">IF(A51="","",IF(F51&lt;&gt;"Ativo","⚪ "&amp;F51,IF(J51&gt;0,"🔴 Cobrar equipe",IF(I51&gt;0,"🟡 Em execução","🟢 Em dia"))))</f>
        <v/>
      </c>
      <c r="L51" s="26"/>
    </row>
    <row r="52" customFormat="false" ht="15" hidden="false" customHeight="false" outlineLevel="0" collapsed="false">
      <c r="A52" s="26"/>
      <c r="B52" s="26"/>
      <c r="C52" s="26"/>
      <c r="D52" s="26"/>
      <c r="E52" s="27"/>
      <c r="F52" s="26"/>
      <c r="G52" s="34" t="str">
        <f aca="true">IF(OR(A52="",E52=""),"",DATEDIF(E52,TODAY(),"m")+1)</f>
        <v/>
      </c>
      <c r="H52" s="35" t="str">
        <f aca="true">IF(A52="","",IF(_xlfn.MINIFS(Lançamentos!$C$2:$C$401,Lançamentos!$A$2:$A$401,A52,Lançamentos!$C$2:$C$401,"&gt;="&amp;TODAY())=0,"—",_xlfn.MINIFS(Lançamentos!$C$2:$C$401,Lançamentos!$A$2:$A$401,A52,Lançamentos!$C$2:$C$401,"&gt;="&amp;TODAY())))</f>
        <v/>
      </c>
      <c r="I52" s="34" t="str">
        <f aca="false">IF(A52="","",COUNTIFS(Lançamentos!$A$2:$A$401,A52,Lançamentos!$G$2:$G$401,"&lt;&gt;Concluído"))</f>
        <v/>
      </c>
      <c r="J52" s="34" t="str">
        <f aca="true">IF(A52="","",COUNTIFS(Lançamentos!$A$2:$A$401,A52,Lançamentos!$G$2:$G$401,"&lt;&gt;Concluído",Lançamentos!$F$2:$F$401,"&lt;"&amp;TODAY()))</f>
        <v/>
      </c>
      <c r="K52" s="29" t="str">
        <f aca="false">IF(A52="","",IF(F52&lt;&gt;"Ativo","⚪ "&amp;F52,IF(J52&gt;0,"🔴 Cobrar equipe",IF(I52&gt;0,"🟡 Em execução","🟢 Em dia"))))</f>
        <v/>
      </c>
      <c r="L52" s="26"/>
    </row>
    <row r="53" customFormat="false" ht="15" hidden="false" customHeight="false" outlineLevel="0" collapsed="false">
      <c r="A53" s="26"/>
      <c r="B53" s="26"/>
      <c r="C53" s="26"/>
      <c r="D53" s="26"/>
      <c r="E53" s="27"/>
      <c r="F53" s="26"/>
      <c r="G53" s="34" t="str">
        <f aca="true">IF(OR(A53="",E53=""),"",DATEDIF(E53,TODAY(),"m")+1)</f>
        <v/>
      </c>
      <c r="H53" s="35" t="str">
        <f aca="true">IF(A53="","",IF(_xlfn.MINIFS(Lançamentos!$C$2:$C$401,Lançamentos!$A$2:$A$401,A53,Lançamentos!$C$2:$C$401,"&gt;="&amp;TODAY())=0,"—",_xlfn.MINIFS(Lançamentos!$C$2:$C$401,Lançamentos!$A$2:$A$401,A53,Lançamentos!$C$2:$C$401,"&gt;="&amp;TODAY())))</f>
        <v/>
      </c>
      <c r="I53" s="34" t="str">
        <f aca="false">IF(A53="","",COUNTIFS(Lançamentos!$A$2:$A$401,A53,Lançamentos!$G$2:$G$401,"&lt;&gt;Concluído"))</f>
        <v/>
      </c>
      <c r="J53" s="34" t="str">
        <f aca="true">IF(A53="","",COUNTIFS(Lançamentos!$A$2:$A$401,A53,Lançamentos!$G$2:$G$401,"&lt;&gt;Concluído",Lançamentos!$F$2:$F$401,"&lt;"&amp;TODAY()))</f>
        <v/>
      </c>
      <c r="K53" s="29" t="str">
        <f aca="false">IF(A53="","",IF(F53&lt;&gt;"Ativo","⚪ "&amp;F53,IF(J53&gt;0,"🔴 Cobrar equipe",IF(I53&gt;0,"🟡 Em execução","🟢 Em dia"))))</f>
        <v/>
      </c>
      <c r="L53" s="26"/>
    </row>
    <row r="54" customFormat="false" ht="15" hidden="false" customHeight="false" outlineLevel="0" collapsed="false">
      <c r="A54" s="26"/>
      <c r="B54" s="26"/>
      <c r="C54" s="26"/>
      <c r="D54" s="26"/>
      <c r="E54" s="27"/>
      <c r="F54" s="26"/>
      <c r="G54" s="34" t="str">
        <f aca="true">IF(OR(A54="",E54=""),"",DATEDIF(E54,TODAY(),"m")+1)</f>
        <v/>
      </c>
      <c r="H54" s="35" t="str">
        <f aca="true">IF(A54="","",IF(_xlfn.MINIFS(Lançamentos!$C$2:$C$401,Lançamentos!$A$2:$A$401,A54,Lançamentos!$C$2:$C$401,"&gt;="&amp;TODAY())=0,"—",_xlfn.MINIFS(Lançamentos!$C$2:$C$401,Lançamentos!$A$2:$A$401,A54,Lançamentos!$C$2:$C$401,"&gt;="&amp;TODAY())))</f>
        <v/>
      </c>
      <c r="I54" s="34" t="str">
        <f aca="false">IF(A54="","",COUNTIFS(Lançamentos!$A$2:$A$401,A54,Lançamentos!$G$2:$G$401,"&lt;&gt;Concluído"))</f>
        <v/>
      </c>
      <c r="J54" s="34" t="str">
        <f aca="true">IF(A54="","",COUNTIFS(Lançamentos!$A$2:$A$401,A54,Lançamentos!$G$2:$G$401,"&lt;&gt;Concluído",Lançamentos!$F$2:$F$401,"&lt;"&amp;TODAY()))</f>
        <v/>
      </c>
      <c r="K54" s="29" t="str">
        <f aca="false">IF(A54="","",IF(F54&lt;&gt;"Ativo","⚪ "&amp;F54,IF(J54&gt;0,"🔴 Cobrar equipe",IF(I54&gt;0,"🟡 Em execução","🟢 Em dia"))))</f>
        <v/>
      </c>
      <c r="L54" s="26"/>
    </row>
    <row r="55" customFormat="false" ht="15" hidden="false" customHeight="false" outlineLevel="0" collapsed="false">
      <c r="A55" s="26"/>
      <c r="B55" s="26"/>
      <c r="C55" s="26"/>
      <c r="D55" s="26"/>
      <c r="E55" s="27"/>
      <c r="F55" s="26"/>
      <c r="G55" s="34" t="str">
        <f aca="true">IF(OR(A55="",E55=""),"",DATEDIF(E55,TODAY(),"m")+1)</f>
        <v/>
      </c>
      <c r="H55" s="35" t="str">
        <f aca="true">IF(A55="","",IF(_xlfn.MINIFS(Lançamentos!$C$2:$C$401,Lançamentos!$A$2:$A$401,A55,Lançamentos!$C$2:$C$401,"&gt;="&amp;TODAY())=0,"—",_xlfn.MINIFS(Lançamentos!$C$2:$C$401,Lançamentos!$A$2:$A$401,A55,Lançamentos!$C$2:$C$401,"&gt;="&amp;TODAY())))</f>
        <v/>
      </c>
      <c r="I55" s="34" t="str">
        <f aca="false">IF(A55="","",COUNTIFS(Lançamentos!$A$2:$A$401,A55,Lançamentos!$G$2:$G$401,"&lt;&gt;Concluído"))</f>
        <v/>
      </c>
      <c r="J55" s="34" t="str">
        <f aca="true">IF(A55="","",COUNTIFS(Lançamentos!$A$2:$A$401,A55,Lançamentos!$G$2:$G$401,"&lt;&gt;Concluído",Lançamentos!$F$2:$F$401,"&lt;"&amp;TODAY()))</f>
        <v/>
      </c>
      <c r="K55" s="29" t="str">
        <f aca="false">IF(A55="","",IF(F55&lt;&gt;"Ativo","⚪ "&amp;F55,IF(J55&gt;0,"🔴 Cobrar equipe",IF(I55&gt;0,"🟡 Em execução","🟢 Em dia"))))</f>
        <v/>
      </c>
      <c r="L55" s="26"/>
    </row>
    <row r="56" customFormat="false" ht="15" hidden="false" customHeight="false" outlineLevel="0" collapsed="false">
      <c r="A56" s="26"/>
      <c r="B56" s="26"/>
      <c r="C56" s="26"/>
      <c r="D56" s="26"/>
      <c r="E56" s="27"/>
      <c r="F56" s="26"/>
      <c r="G56" s="34" t="str">
        <f aca="true">IF(OR(A56="",E56=""),"",DATEDIF(E56,TODAY(),"m")+1)</f>
        <v/>
      </c>
      <c r="H56" s="35" t="str">
        <f aca="true">IF(A56="","",IF(_xlfn.MINIFS(Lançamentos!$C$2:$C$401,Lançamentos!$A$2:$A$401,A56,Lançamentos!$C$2:$C$401,"&gt;="&amp;TODAY())=0,"—",_xlfn.MINIFS(Lançamentos!$C$2:$C$401,Lançamentos!$A$2:$A$401,A56,Lançamentos!$C$2:$C$401,"&gt;="&amp;TODAY())))</f>
        <v/>
      </c>
      <c r="I56" s="34" t="str">
        <f aca="false">IF(A56="","",COUNTIFS(Lançamentos!$A$2:$A$401,A56,Lançamentos!$G$2:$G$401,"&lt;&gt;Concluído"))</f>
        <v/>
      </c>
      <c r="J56" s="34" t="str">
        <f aca="true">IF(A56="","",COUNTIFS(Lançamentos!$A$2:$A$401,A56,Lançamentos!$G$2:$G$401,"&lt;&gt;Concluído",Lançamentos!$F$2:$F$401,"&lt;"&amp;TODAY()))</f>
        <v/>
      </c>
      <c r="K56" s="29" t="str">
        <f aca="false">IF(A56="","",IF(F56&lt;&gt;"Ativo","⚪ "&amp;F56,IF(J56&gt;0,"🔴 Cobrar equipe",IF(I56&gt;0,"🟡 Em execução","🟢 Em dia"))))</f>
        <v/>
      </c>
      <c r="L56" s="26"/>
    </row>
    <row r="57" customFormat="false" ht="15" hidden="false" customHeight="false" outlineLevel="0" collapsed="false">
      <c r="A57" s="26"/>
      <c r="B57" s="26"/>
      <c r="C57" s="26"/>
      <c r="D57" s="26"/>
      <c r="E57" s="27"/>
      <c r="F57" s="26"/>
      <c r="G57" s="34" t="str">
        <f aca="true">IF(OR(A57="",E57=""),"",DATEDIF(E57,TODAY(),"m")+1)</f>
        <v/>
      </c>
      <c r="H57" s="35" t="str">
        <f aca="true">IF(A57="","",IF(_xlfn.MINIFS(Lançamentos!$C$2:$C$401,Lançamentos!$A$2:$A$401,A57,Lançamentos!$C$2:$C$401,"&gt;="&amp;TODAY())=0,"—",_xlfn.MINIFS(Lançamentos!$C$2:$C$401,Lançamentos!$A$2:$A$401,A57,Lançamentos!$C$2:$C$401,"&gt;="&amp;TODAY())))</f>
        <v/>
      </c>
      <c r="I57" s="34" t="str">
        <f aca="false">IF(A57="","",COUNTIFS(Lançamentos!$A$2:$A$401,A57,Lançamentos!$G$2:$G$401,"&lt;&gt;Concluído"))</f>
        <v/>
      </c>
      <c r="J57" s="34" t="str">
        <f aca="true">IF(A57="","",COUNTIFS(Lançamentos!$A$2:$A$401,A57,Lançamentos!$G$2:$G$401,"&lt;&gt;Concluído",Lançamentos!$F$2:$F$401,"&lt;"&amp;TODAY()))</f>
        <v/>
      </c>
      <c r="K57" s="29" t="str">
        <f aca="false">IF(A57="","",IF(F57&lt;&gt;"Ativo","⚪ "&amp;F57,IF(J57&gt;0,"🔴 Cobrar equipe",IF(I57&gt;0,"🟡 Em execução","🟢 Em dia"))))</f>
        <v/>
      </c>
      <c r="L57" s="26"/>
    </row>
    <row r="58" customFormat="false" ht="15" hidden="false" customHeight="false" outlineLevel="0" collapsed="false">
      <c r="A58" s="26"/>
      <c r="B58" s="26"/>
      <c r="C58" s="26"/>
      <c r="D58" s="26"/>
      <c r="E58" s="27"/>
      <c r="F58" s="26"/>
      <c r="G58" s="34" t="str">
        <f aca="true">IF(OR(A58="",E58=""),"",DATEDIF(E58,TODAY(),"m")+1)</f>
        <v/>
      </c>
      <c r="H58" s="35" t="str">
        <f aca="true">IF(A58="","",IF(_xlfn.MINIFS(Lançamentos!$C$2:$C$401,Lançamentos!$A$2:$A$401,A58,Lançamentos!$C$2:$C$401,"&gt;="&amp;TODAY())=0,"—",_xlfn.MINIFS(Lançamentos!$C$2:$C$401,Lançamentos!$A$2:$A$401,A58,Lançamentos!$C$2:$C$401,"&gt;="&amp;TODAY())))</f>
        <v/>
      </c>
      <c r="I58" s="34" t="str">
        <f aca="false">IF(A58="","",COUNTIFS(Lançamentos!$A$2:$A$401,A58,Lançamentos!$G$2:$G$401,"&lt;&gt;Concluído"))</f>
        <v/>
      </c>
      <c r="J58" s="34" t="str">
        <f aca="true">IF(A58="","",COUNTIFS(Lançamentos!$A$2:$A$401,A58,Lançamentos!$G$2:$G$401,"&lt;&gt;Concluído",Lançamentos!$F$2:$F$401,"&lt;"&amp;TODAY()))</f>
        <v/>
      </c>
      <c r="K58" s="29" t="str">
        <f aca="false">IF(A58="","",IF(F58&lt;&gt;"Ativo","⚪ "&amp;F58,IF(J58&gt;0,"🔴 Cobrar equipe",IF(I58&gt;0,"🟡 Em execução","🟢 Em dia"))))</f>
        <v/>
      </c>
      <c r="L58" s="26"/>
    </row>
    <row r="59" customFormat="false" ht="15" hidden="false" customHeight="false" outlineLevel="0" collapsed="false">
      <c r="A59" s="26"/>
      <c r="B59" s="26"/>
      <c r="C59" s="26"/>
      <c r="D59" s="26"/>
      <c r="E59" s="27"/>
      <c r="F59" s="26"/>
      <c r="G59" s="34" t="str">
        <f aca="true">IF(OR(A59="",E59=""),"",DATEDIF(E59,TODAY(),"m")+1)</f>
        <v/>
      </c>
      <c r="H59" s="35" t="str">
        <f aca="true">IF(A59="","",IF(_xlfn.MINIFS(Lançamentos!$C$2:$C$401,Lançamentos!$A$2:$A$401,A59,Lançamentos!$C$2:$C$401,"&gt;="&amp;TODAY())=0,"—",_xlfn.MINIFS(Lançamentos!$C$2:$C$401,Lançamentos!$A$2:$A$401,A59,Lançamentos!$C$2:$C$401,"&gt;="&amp;TODAY())))</f>
        <v/>
      </c>
      <c r="I59" s="34" t="str">
        <f aca="false">IF(A59="","",COUNTIFS(Lançamentos!$A$2:$A$401,A59,Lançamentos!$G$2:$G$401,"&lt;&gt;Concluído"))</f>
        <v/>
      </c>
      <c r="J59" s="34" t="str">
        <f aca="true">IF(A59="","",COUNTIFS(Lançamentos!$A$2:$A$401,A59,Lançamentos!$G$2:$G$401,"&lt;&gt;Concluído",Lançamentos!$F$2:$F$401,"&lt;"&amp;TODAY()))</f>
        <v/>
      </c>
      <c r="K59" s="29" t="str">
        <f aca="false">IF(A59="","",IF(F59&lt;&gt;"Ativo","⚪ "&amp;F59,IF(J59&gt;0,"🔴 Cobrar equipe",IF(I59&gt;0,"🟡 Em execução","🟢 Em dia"))))</f>
        <v/>
      </c>
      <c r="L59" s="26"/>
    </row>
    <row r="60" customFormat="false" ht="15" hidden="false" customHeight="false" outlineLevel="0" collapsed="false">
      <c r="A60" s="26"/>
      <c r="B60" s="26"/>
      <c r="C60" s="26"/>
      <c r="D60" s="26"/>
      <c r="E60" s="27"/>
      <c r="F60" s="26"/>
      <c r="G60" s="34" t="str">
        <f aca="true">IF(OR(A60="",E60=""),"",DATEDIF(E60,TODAY(),"m")+1)</f>
        <v/>
      </c>
      <c r="H60" s="35" t="str">
        <f aca="true">IF(A60="","",IF(_xlfn.MINIFS(Lançamentos!$C$2:$C$401,Lançamentos!$A$2:$A$401,A60,Lançamentos!$C$2:$C$401,"&gt;="&amp;TODAY())=0,"—",_xlfn.MINIFS(Lançamentos!$C$2:$C$401,Lançamentos!$A$2:$A$401,A60,Lançamentos!$C$2:$C$401,"&gt;="&amp;TODAY())))</f>
        <v/>
      </c>
      <c r="I60" s="34" t="str">
        <f aca="false">IF(A60="","",COUNTIFS(Lançamentos!$A$2:$A$401,A60,Lançamentos!$G$2:$G$401,"&lt;&gt;Concluído"))</f>
        <v/>
      </c>
      <c r="J60" s="34" t="str">
        <f aca="true">IF(A60="","",COUNTIFS(Lançamentos!$A$2:$A$401,A60,Lançamentos!$G$2:$G$401,"&lt;&gt;Concluído",Lançamentos!$F$2:$F$401,"&lt;"&amp;TODAY()))</f>
        <v/>
      </c>
      <c r="K60" s="29" t="str">
        <f aca="false">IF(A60="","",IF(F60&lt;&gt;"Ativo","⚪ "&amp;F60,IF(J60&gt;0,"🔴 Cobrar equipe",IF(I60&gt;0,"🟡 Em execução","🟢 Em dia"))))</f>
        <v/>
      </c>
      <c r="L60" s="26"/>
    </row>
    <row r="61" customFormat="false" ht="15" hidden="false" customHeight="false" outlineLevel="0" collapsed="false">
      <c r="A61" s="26"/>
      <c r="B61" s="26"/>
      <c r="C61" s="26"/>
      <c r="D61" s="26"/>
      <c r="E61" s="27"/>
      <c r="F61" s="26"/>
      <c r="G61" s="34" t="str">
        <f aca="true">IF(OR(A61="",E61=""),"",DATEDIF(E61,TODAY(),"m")+1)</f>
        <v/>
      </c>
      <c r="H61" s="35" t="str">
        <f aca="true">IF(A61="","",IF(_xlfn.MINIFS(Lançamentos!$C$2:$C$401,Lançamentos!$A$2:$A$401,A61,Lançamentos!$C$2:$C$401,"&gt;="&amp;TODAY())=0,"—",_xlfn.MINIFS(Lançamentos!$C$2:$C$401,Lançamentos!$A$2:$A$401,A61,Lançamentos!$C$2:$C$401,"&gt;="&amp;TODAY())))</f>
        <v/>
      </c>
      <c r="I61" s="34" t="str">
        <f aca="false">IF(A61="","",COUNTIFS(Lançamentos!$A$2:$A$401,A61,Lançamentos!$G$2:$G$401,"&lt;&gt;Concluído"))</f>
        <v/>
      </c>
      <c r="J61" s="34" t="str">
        <f aca="true">IF(A61="","",COUNTIFS(Lançamentos!$A$2:$A$401,A61,Lançamentos!$G$2:$G$401,"&lt;&gt;Concluído",Lançamentos!$F$2:$F$401,"&lt;"&amp;TODAY()))</f>
        <v/>
      </c>
      <c r="K61" s="29" t="str">
        <f aca="false">IF(A61="","",IF(F61&lt;&gt;"Ativo","⚪ "&amp;F61,IF(J61&gt;0,"🔴 Cobrar equipe",IF(I61&gt;0,"🟡 Em execução","🟢 Em dia"))))</f>
        <v/>
      </c>
      <c r="L61" s="26"/>
    </row>
    <row r="62" customFormat="false" ht="15" hidden="false" customHeight="false" outlineLevel="0" collapsed="false">
      <c r="A62" s="26"/>
      <c r="B62" s="26"/>
      <c r="C62" s="26"/>
      <c r="D62" s="26"/>
      <c r="E62" s="27"/>
      <c r="F62" s="26"/>
      <c r="G62" s="34" t="str">
        <f aca="true">IF(OR(A62="",E62=""),"",DATEDIF(E62,TODAY(),"m")+1)</f>
        <v/>
      </c>
      <c r="H62" s="35" t="str">
        <f aca="true">IF(A62="","",IF(_xlfn.MINIFS(Lançamentos!$C$2:$C$401,Lançamentos!$A$2:$A$401,A62,Lançamentos!$C$2:$C$401,"&gt;="&amp;TODAY())=0,"—",_xlfn.MINIFS(Lançamentos!$C$2:$C$401,Lançamentos!$A$2:$A$401,A62,Lançamentos!$C$2:$C$401,"&gt;="&amp;TODAY())))</f>
        <v/>
      </c>
      <c r="I62" s="34" t="str">
        <f aca="false">IF(A62="","",COUNTIFS(Lançamentos!$A$2:$A$401,A62,Lançamentos!$G$2:$G$401,"&lt;&gt;Concluído"))</f>
        <v/>
      </c>
      <c r="J62" s="34" t="str">
        <f aca="true">IF(A62="","",COUNTIFS(Lançamentos!$A$2:$A$401,A62,Lançamentos!$G$2:$G$401,"&lt;&gt;Concluído",Lançamentos!$F$2:$F$401,"&lt;"&amp;TODAY()))</f>
        <v/>
      </c>
      <c r="K62" s="29" t="str">
        <f aca="false">IF(A62="","",IF(F62&lt;&gt;"Ativo","⚪ "&amp;F62,IF(J62&gt;0,"🔴 Cobrar equipe",IF(I62&gt;0,"🟡 Em execução","🟢 Em dia"))))</f>
        <v/>
      </c>
      <c r="L62" s="26"/>
    </row>
    <row r="63" customFormat="false" ht="15" hidden="false" customHeight="false" outlineLevel="0" collapsed="false">
      <c r="A63" s="26"/>
      <c r="B63" s="26"/>
      <c r="C63" s="26"/>
      <c r="D63" s="26"/>
      <c r="E63" s="27"/>
      <c r="F63" s="26"/>
      <c r="G63" s="34" t="str">
        <f aca="true">IF(OR(A63="",E63=""),"",DATEDIF(E63,TODAY(),"m")+1)</f>
        <v/>
      </c>
      <c r="H63" s="35" t="str">
        <f aca="true">IF(A63="","",IF(_xlfn.MINIFS(Lançamentos!$C$2:$C$401,Lançamentos!$A$2:$A$401,A63,Lançamentos!$C$2:$C$401,"&gt;="&amp;TODAY())=0,"—",_xlfn.MINIFS(Lançamentos!$C$2:$C$401,Lançamentos!$A$2:$A$401,A63,Lançamentos!$C$2:$C$401,"&gt;="&amp;TODAY())))</f>
        <v/>
      </c>
      <c r="I63" s="34" t="str">
        <f aca="false">IF(A63="","",COUNTIFS(Lançamentos!$A$2:$A$401,A63,Lançamentos!$G$2:$G$401,"&lt;&gt;Concluído"))</f>
        <v/>
      </c>
      <c r="J63" s="34" t="str">
        <f aca="true">IF(A63="","",COUNTIFS(Lançamentos!$A$2:$A$401,A63,Lançamentos!$G$2:$G$401,"&lt;&gt;Concluído",Lançamentos!$F$2:$F$401,"&lt;"&amp;TODAY()))</f>
        <v/>
      </c>
      <c r="K63" s="29" t="str">
        <f aca="false">IF(A63="","",IF(F63&lt;&gt;"Ativo","⚪ "&amp;F63,IF(J63&gt;0,"🔴 Cobrar equipe",IF(I63&gt;0,"🟡 Em execução","🟢 Em dia"))))</f>
        <v/>
      </c>
      <c r="L63" s="26"/>
    </row>
    <row r="64" customFormat="false" ht="15" hidden="false" customHeight="false" outlineLevel="0" collapsed="false">
      <c r="A64" s="26"/>
      <c r="B64" s="26"/>
      <c r="C64" s="26"/>
      <c r="D64" s="26"/>
      <c r="E64" s="27"/>
      <c r="F64" s="26"/>
      <c r="G64" s="34" t="str">
        <f aca="true">IF(OR(A64="",E64=""),"",DATEDIF(E64,TODAY(),"m")+1)</f>
        <v/>
      </c>
      <c r="H64" s="35" t="str">
        <f aca="true">IF(A64="","",IF(_xlfn.MINIFS(Lançamentos!$C$2:$C$401,Lançamentos!$A$2:$A$401,A64,Lançamentos!$C$2:$C$401,"&gt;="&amp;TODAY())=0,"—",_xlfn.MINIFS(Lançamentos!$C$2:$C$401,Lançamentos!$A$2:$A$401,A64,Lançamentos!$C$2:$C$401,"&gt;="&amp;TODAY())))</f>
        <v/>
      </c>
      <c r="I64" s="34" t="str">
        <f aca="false">IF(A64="","",COUNTIFS(Lançamentos!$A$2:$A$401,A64,Lançamentos!$G$2:$G$401,"&lt;&gt;Concluído"))</f>
        <v/>
      </c>
      <c r="J64" s="34" t="str">
        <f aca="true">IF(A64="","",COUNTIFS(Lançamentos!$A$2:$A$401,A64,Lançamentos!$G$2:$G$401,"&lt;&gt;Concluído",Lançamentos!$F$2:$F$401,"&lt;"&amp;TODAY()))</f>
        <v/>
      </c>
      <c r="K64" s="29" t="str">
        <f aca="false">IF(A64="","",IF(F64&lt;&gt;"Ativo","⚪ "&amp;F64,IF(J64&gt;0,"🔴 Cobrar equipe",IF(I64&gt;0,"🟡 Em execução","🟢 Em dia"))))</f>
        <v/>
      </c>
      <c r="L64" s="26"/>
    </row>
    <row r="65" customFormat="false" ht="15" hidden="false" customHeight="false" outlineLevel="0" collapsed="false">
      <c r="A65" s="26"/>
      <c r="B65" s="26"/>
      <c r="C65" s="26"/>
      <c r="D65" s="26"/>
      <c r="E65" s="27"/>
      <c r="F65" s="26"/>
      <c r="G65" s="34" t="str">
        <f aca="true">IF(OR(A65="",E65=""),"",DATEDIF(E65,TODAY(),"m")+1)</f>
        <v/>
      </c>
      <c r="H65" s="35" t="str">
        <f aca="true">IF(A65="","",IF(_xlfn.MINIFS(Lançamentos!$C$2:$C$401,Lançamentos!$A$2:$A$401,A65,Lançamentos!$C$2:$C$401,"&gt;="&amp;TODAY())=0,"—",_xlfn.MINIFS(Lançamentos!$C$2:$C$401,Lançamentos!$A$2:$A$401,A65,Lançamentos!$C$2:$C$401,"&gt;="&amp;TODAY())))</f>
        <v/>
      </c>
      <c r="I65" s="34" t="str">
        <f aca="false">IF(A65="","",COUNTIFS(Lançamentos!$A$2:$A$401,A65,Lançamentos!$G$2:$G$401,"&lt;&gt;Concluído"))</f>
        <v/>
      </c>
      <c r="J65" s="34" t="str">
        <f aca="true">IF(A65="","",COUNTIFS(Lançamentos!$A$2:$A$401,A65,Lançamentos!$G$2:$G$401,"&lt;&gt;Concluído",Lançamentos!$F$2:$F$401,"&lt;"&amp;TODAY()))</f>
        <v/>
      </c>
      <c r="K65" s="29" t="str">
        <f aca="false">IF(A65="","",IF(F65&lt;&gt;"Ativo","⚪ "&amp;F65,IF(J65&gt;0,"🔴 Cobrar equipe",IF(I65&gt;0,"🟡 Em execução","🟢 Em dia"))))</f>
        <v/>
      </c>
      <c r="L65" s="26"/>
    </row>
    <row r="66" customFormat="false" ht="15" hidden="false" customHeight="false" outlineLevel="0" collapsed="false">
      <c r="A66" s="26"/>
      <c r="B66" s="26"/>
      <c r="C66" s="26"/>
      <c r="D66" s="26"/>
      <c r="E66" s="27"/>
      <c r="F66" s="26"/>
      <c r="G66" s="34" t="str">
        <f aca="true">IF(OR(A66="",E66=""),"",DATEDIF(E66,TODAY(),"m")+1)</f>
        <v/>
      </c>
      <c r="H66" s="35" t="str">
        <f aca="true">IF(A66="","",IF(_xlfn.MINIFS(Lançamentos!$C$2:$C$401,Lançamentos!$A$2:$A$401,A66,Lançamentos!$C$2:$C$401,"&gt;="&amp;TODAY())=0,"—",_xlfn.MINIFS(Lançamentos!$C$2:$C$401,Lançamentos!$A$2:$A$401,A66,Lançamentos!$C$2:$C$401,"&gt;="&amp;TODAY())))</f>
        <v/>
      </c>
      <c r="I66" s="34" t="str">
        <f aca="false">IF(A66="","",COUNTIFS(Lançamentos!$A$2:$A$401,A66,Lançamentos!$G$2:$G$401,"&lt;&gt;Concluído"))</f>
        <v/>
      </c>
      <c r="J66" s="34" t="str">
        <f aca="true">IF(A66="","",COUNTIFS(Lançamentos!$A$2:$A$401,A66,Lançamentos!$G$2:$G$401,"&lt;&gt;Concluído",Lançamentos!$F$2:$F$401,"&lt;"&amp;TODAY()))</f>
        <v/>
      </c>
      <c r="K66" s="29" t="str">
        <f aca="false">IF(A66="","",IF(F66&lt;&gt;"Ativo","⚪ "&amp;F66,IF(J66&gt;0,"🔴 Cobrar equipe",IF(I66&gt;0,"🟡 Em execução","🟢 Em dia"))))</f>
        <v/>
      </c>
      <c r="L66" s="26"/>
    </row>
    <row r="67" customFormat="false" ht="15" hidden="false" customHeight="false" outlineLevel="0" collapsed="false">
      <c r="A67" s="26"/>
      <c r="B67" s="26"/>
      <c r="C67" s="26"/>
      <c r="D67" s="26"/>
      <c r="E67" s="27"/>
      <c r="F67" s="26"/>
      <c r="G67" s="34" t="str">
        <f aca="true">IF(OR(A67="",E67=""),"",DATEDIF(E67,TODAY(),"m")+1)</f>
        <v/>
      </c>
      <c r="H67" s="35" t="str">
        <f aca="true">IF(A67="","",IF(_xlfn.MINIFS(Lançamentos!$C$2:$C$401,Lançamentos!$A$2:$A$401,A67,Lançamentos!$C$2:$C$401,"&gt;="&amp;TODAY())=0,"—",_xlfn.MINIFS(Lançamentos!$C$2:$C$401,Lançamentos!$A$2:$A$401,A67,Lançamentos!$C$2:$C$401,"&gt;="&amp;TODAY())))</f>
        <v/>
      </c>
      <c r="I67" s="34" t="str">
        <f aca="false">IF(A67="","",COUNTIFS(Lançamentos!$A$2:$A$401,A67,Lançamentos!$G$2:$G$401,"&lt;&gt;Concluído"))</f>
        <v/>
      </c>
      <c r="J67" s="34" t="str">
        <f aca="true">IF(A67="","",COUNTIFS(Lançamentos!$A$2:$A$401,A67,Lançamentos!$G$2:$G$401,"&lt;&gt;Concluído",Lançamentos!$F$2:$F$401,"&lt;"&amp;TODAY()))</f>
        <v/>
      </c>
      <c r="K67" s="29" t="str">
        <f aca="false">IF(A67="","",IF(F67&lt;&gt;"Ativo","⚪ "&amp;F67,IF(J67&gt;0,"🔴 Cobrar equipe",IF(I67&gt;0,"🟡 Em execução","🟢 Em dia"))))</f>
        <v/>
      </c>
      <c r="L67" s="26"/>
    </row>
    <row r="68" customFormat="false" ht="15" hidden="false" customHeight="false" outlineLevel="0" collapsed="false">
      <c r="A68" s="26"/>
      <c r="B68" s="26"/>
      <c r="C68" s="26"/>
      <c r="D68" s="26"/>
      <c r="E68" s="27"/>
      <c r="F68" s="26"/>
      <c r="G68" s="34" t="str">
        <f aca="true">IF(OR(A68="",E68=""),"",DATEDIF(E68,TODAY(),"m")+1)</f>
        <v/>
      </c>
      <c r="H68" s="35" t="str">
        <f aca="true">IF(A68="","",IF(_xlfn.MINIFS(Lançamentos!$C$2:$C$401,Lançamentos!$A$2:$A$401,A68,Lançamentos!$C$2:$C$401,"&gt;="&amp;TODAY())=0,"—",_xlfn.MINIFS(Lançamentos!$C$2:$C$401,Lançamentos!$A$2:$A$401,A68,Lançamentos!$C$2:$C$401,"&gt;="&amp;TODAY())))</f>
        <v/>
      </c>
      <c r="I68" s="34" t="str">
        <f aca="false">IF(A68="","",COUNTIFS(Lançamentos!$A$2:$A$401,A68,Lançamentos!$G$2:$G$401,"&lt;&gt;Concluído"))</f>
        <v/>
      </c>
      <c r="J68" s="34" t="str">
        <f aca="true">IF(A68="","",COUNTIFS(Lançamentos!$A$2:$A$401,A68,Lançamentos!$G$2:$G$401,"&lt;&gt;Concluído",Lançamentos!$F$2:$F$401,"&lt;"&amp;TODAY()))</f>
        <v/>
      </c>
      <c r="K68" s="29" t="str">
        <f aca="false">IF(A68="","",IF(F68&lt;&gt;"Ativo","⚪ "&amp;F68,IF(J68&gt;0,"🔴 Cobrar equipe",IF(I68&gt;0,"🟡 Em execução","🟢 Em dia"))))</f>
        <v/>
      </c>
      <c r="L68" s="26"/>
    </row>
    <row r="69" customFormat="false" ht="15" hidden="false" customHeight="false" outlineLevel="0" collapsed="false">
      <c r="A69" s="26"/>
      <c r="B69" s="26"/>
      <c r="C69" s="26"/>
      <c r="D69" s="26"/>
      <c r="E69" s="27"/>
      <c r="F69" s="26"/>
      <c r="G69" s="34" t="str">
        <f aca="true">IF(OR(A69="",E69=""),"",DATEDIF(E69,TODAY(),"m")+1)</f>
        <v/>
      </c>
      <c r="H69" s="35" t="str">
        <f aca="true">IF(A69="","",IF(_xlfn.MINIFS(Lançamentos!$C$2:$C$401,Lançamentos!$A$2:$A$401,A69,Lançamentos!$C$2:$C$401,"&gt;="&amp;TODAY())=0,"—",_xlfn.MINIFS(Lançamentos!$C$2:$C$401,Lançamentos!$A$2:$A$401,A69,Lançamentos!$C$2:$C$401,"&gt;="&amp;TODAY())))</f>
        <v/>
      </c>
      <c r="I69" s="34" t="str">
        <f aca="false">IF(A69="","",COUNTIFS(Lançamentos!$A$2:$A$401,A69,Lançamentos!$G$2:$G$401,"&lt;&gt;Concluído"))</f>
        <v/>
      </c>
      <c r="J69" s="34" t="str">
        <f aca="true">IF(A69="","",COUNTIFS(Lançamentos!$A$2:$A$401,A69,Lançamentos!$G$2:$G$401,"&lt;&gt;Concluído",Lançamentos!$F$2:$F$401,"&lt;"&amp;TODAY()))</f>
        <v/>
      </c>
      <c r="K69" s="29" t="str">
        <f aca="false">IF(A69="","",IF(F69&lt;&gt;"Ativo","⚪ "&amp;F69,IF(J69&gt;0,"🔴 Cobrar equipe",IF(I69&gt;0,"🟡 Em execução","🟢 Em dia"))))</f>
        <v/>
      </c>
      <c r="L69" s="26"/>
    </row>
    <row r="70" customFormat="false" ht="15" hidden="false" customHeight="false" outlineLevel="0" collapsed="false">
      <c r="A70" s="26"/>
      <c r="B70" s="26"/>
      <c r="C70" s="26"/>
      <c r="D70" s="26"/>
      <c r="E70" s="27"/>
      <c r="F70" s="26"/>
      <c r="G70" s="34" t="str">
        <f aca="true">IF(OR(A70="",E70=""),"",DATEDIF(E70,TODAY(),"m")+1)</f>
        <v/>
      </c>
      <c r="H70" s="35" t="str">
        <f aca="true">IF(A70="","",IF(_xlfn.MINIFS(Lançamentos!$C$2:$C$401,Lançamentos!$A$2:$A$401,A70,Lançamentos!$C$2:$C$401,"&gt;="&amp;TODAY())=0,"—",_xlfn.MINIFS(Lançamentos!$C$2:$C$401,Lançamentos!$A$2:$A$401,A70,Lançamentos!$C$2:$C$401,"&gt;="&amp;TODAY())))</f>
        <v/>
      </c>
      <c r="I70" s="34" t="str">
        <f aca="false">IF(A70="","",COUNTIFS(Lançamentos!$A$2:$A$401,A70,Lançamentos!$G$2:$G$401,"&lt;&gt;Concluído"))</f>
        <v/>
      </c>
      <c r="J70" s="34" t="str">
        <f aca="true">IF(A70="","",COUNTIFS(Lançamentos!$A$2:$A$401,A70,Lançamentos!$G$2:$G$401,"&lt;&gt;Concluído",Lançamentos!$F$2:$F$401,"&lt;"&amp;TODAY()))</f>
        <v/>
      </c>
      <c r="K70" s="29" t="str">
        <f aca="false">IF(A70="","",IF(F70&lt;&gt;"Ativo","⚪ "&amp;F70,IF(J70&gt;0,"🔴 Cobrar equipe",IF(I70&gt;0,"🟡 Em execução","🟢 Em dia"))))</f>
        <v/>
      </c>
      <c r="L70" s="26"/>
    </row>
    <row r="71" customFormat="false" ht="15" hidden="false" customHeight="false" outlineLevel="0" collapsed="false">
      <c r="A71" s="26"/>
      <c r="B71" s="26"/>
      <c r="C71" s="26"/>
      <c r="D71" s="26"/>
      <c r="E71" s="27"/>
      <c r="F71" s="26"/>
      <c r="G71" s="34" t="str">
        <f aca="true">IF(OR(A71="",E71=""),"",DATEDIF(E71,TODAY(),"m")+1)</f>
        <v/>
      </c>
      <c r="H71" s="35" t="str">
        <f aca="true">IF(A71="","",IF(_xlfn.MINIFS(Lançamentos!$C$2:$C$401,Lançamentos!$A$2:$A$401,A71,Lançamentos!$C$2:$C$401,"&gt;="&amp;TODAY())=0,"—",_xlfn.MINIFS(Lançamentos!$C$2:$C$401,Lançamentos!$A$2:$A$401,A71,Lançamentos!$C$2:$C$401,"&gt;="&amp;TODAY())))</f>
        <v/>
      </c>
      <c r="I71" s="34" t="str">
        <f aca="false">IF(A71="","",COUNTIFS(Lançamentos!$A$2:$A$401,A71,Lançamentos!$G$2:$G$401,"&lt;&gt;Concluído"))</f>
        <v/>
      </c>
      <c r="J71" s="34" t="str">
        <f aca="true">IF(A71="","",COUNTIFS(Lançamentos!$A$2:$A$401,A71,Lançamentos!$G$2:$G$401,"&lt;&gt;Concluído",Lançamentos!$F$2:$F$401,"&lt;"&amp;TODAY()))</f>
        <v/>
      </c>
      <c r="K71" s="29" t="str">
        <f aca="false">IF(A71="","",IF(F71&lt;&gt;"Ativo","⚪ "&amp;F71,IF(J71&gt;0,"🔴 Cobrar equipe",IF(I71&gt;0,"🟡 Em execução","🟢 Em dia"))))</f>
        <v/>
      </c>
      <c r="L71" s="26"/>
    </row>
    <row r="72" customFormat="false" ht="15" hidden="false" customHeight="false" outlineLevel="0" collapsed="false">
      <c r="A72" s="26"/>
      <c r="B72" s="26"/>
      <c r="C72" s="26"/>
      <c r="D72" s="26"/>
      <c r="E72" s="27"/>
      <c r="F72" s="26"/>
      <c r="G72" s="34" t="str">
        <f aca="true">IF(OR(A72="",E72=""),"",DATEDIF(E72,TODAY(),"m")+1)</f>
        <v/>
      </c>
      <c r="H72" s="35" t="str">
        <f aca="true">IF(A72="","",IF(_xlfn.MINIFS(Lançamentos!$C$2:$C$401,Lançamentos!$A$2:$A$401,A72,Lançamentos!$C$2:$C$401,"&gt;="&amp;TODAY())=0,"—",_xlfn.MINIFS(Lançamentos!$C$2:$C$401,Lançamentos!$A$2:$A$401,A72,Lançamentos!$C$2:$C$401,"&gt;="&amp;TODAY())))</f>
        <v/>
      </c>
      <c r="I72" s="34" t="str">
        <f aca="false">IF(A72="","",COUNTIFS(Lançamentos!$A$2:$A$401,A72,Lançamentos!$G$2:$G$401,"&lt;&gt;Concluído"))</f>
        <v/>
      </c>
      <c r="J72" s="34" t="str">
        <f aca="true">IF(A72="","",COUNTIFS(Lançamentos!$A$2:$A$401,A72,Lançamentos!$G$2:$G$401,"&lt;&gt;Concluído",Lançamentos!$F$2:$F$401,"&lt;"&amp;TODAY()))</f>
        <v/>
      </c>
      <c r="K72" s="29" t="str">
        <f aca="false">IF(A72="","",IF(F72&lt;&gt;"Ativo","⚪ "&amp;F72,IF(J72&gt;0,"🔴 Cobrar equipe",IF(I72&gt;0,"🟡 Em execução","🟢 Em dia"))))</f>
        <v/>
      </c>
      <c r="L72" s="26"/>
    </row>
    <row r="73" customFormat="false" ht="15" hidden="false" customHeight="false" outlineLevel="0" collapsed="false">
      <c r="A73" s="26"/>
      <c r="B73" s="26"/>
      <c r="C73" s="26"/>
      <c r="D73" s="26"/>
      <c r="E73" s="27"/>
      <c r="F73" s="26"/>
      <c r="G73" s="34" t="str">
        <f aca="true">IF(OR(A73="",E73=""),"",DATEDIF(E73,TODAY(),"m")+1)</f>
        <v/>
      </c>
      <c r="H73" s="35" t="str">
        <f aca="true">IF(A73="","",IF(_xlfn.MINIFS(Lançamentos!$C$2:$C$401,Lançamentos!$A$2:$A$401,A73,Lançamentos!$C$2:$C$401,"&gt;="&amp;TODAY())=0,"—",_xlfn.MINIFS(Lançamentos!$C$2:$C$401,Lançamentos!$A$2:$A$401,A73,Lançamentos!$C$2:$C$401,"&gt;="&amp;TODAY())))</f>
        <v/>
      </c>
      <c r="I73" s="34" t="str">
        <f aca="false">IF(A73="","",COUNTIFS(Lançamentos!$A$2:$A$401,A73,Lançamentos!$G$2:$G$401,"&lt;&gt;Concluído"))</f>
        <v/>
      </c>
      <c r="J73" s="34" t="str">
        <f aca="true">IF(A73="","",COUNTIFS(Lançamentos!$A$2:$A$401,A73,Lançamentos!$G$2:$G$401,"&lt;&gt;Concluído",Lançamentos!$F$2:$F$401,"&lt;"&amp;TODAY()))</f>
        <v/>
      </c>
      <c r="K73" s="29" t="str">
        <f aca="false">IF(A73="","",IF(F73&lt;&gt;"Ativo","⚪ "&amp;F73,IF(J73&gt;0,"🔴 Cobrar equipe",IF(I73&gt;0,"🟡 Em execução","🟢 Em dia"))))</f>
        <v/>
      </c>
      <c r="L73" s="26"/>
    </row>
    <row r="74" customFormat="false" ht="15" hidden="false" customHeight="false" outlineLevel="0" collapsed="false">
      <c r="A74" s="26"/>
      <c r="B74" s="26"/>
      <c r="C74" s="26"/>
      <c r="D74" s="26"/>
      <c r="E74" s="27"/>
      <c r="F74" s="26"/>
      <c r="G74" s="34" t="str">
        <f aca="true">IF(OR(A74="",E74=""),"",DATEDIF(E74,TODAY(),"m")+1)</f>
        <v/>
      </c>
      <c r="H74" s="35" t="str">
        <f aca="true">IF(A74="","",IF(_xlfn.MINIFS(Lançamentos!$C$2:$C$401,Lançamentos!$A$2:$A$401,A74,Lançamentos!$C$2:$C$401,"&gt;="&amp;TODAY())=0,"—",_xlfn.MINIFS(Lançamentos!$C$2:$C$401,Lançamentos!$A$2:$A$401,A74,Lançamentos!$C$2:$C$401,"&gt;="&amp;TODAY())))</f>
        <v/>
      </c>
      <c r="I74" s="34" t="str">
        <f aca="false">IF(A74="","",COUNTIFS(Lançamentos!$A$2:$A$401,A74,Lançamentos!$G$2:$G$401,"&lt;&gt;Concluído"))</f>
        <v/>
      </c>
      <c r="J74" s="34" t="str">
        <f aca="true">IF(A74="","",COUNTIFS(Lançamentos!$A$2:$A$401,A74,Lançamentos!$G$2:$G$401,"&lt;&gt;Concluído",Lançamentos!$F$2:$F$401,"&lt;"&amp;TODAY()))</f>
        <v/>
      </c>
      <c r="K74" s="29" t="str">
        <f aca="false">IF(A74="","",IF(F74&lt;&gt;"Ativo","⚪ "&amp;F74,IF(J74&gt;0,"🔴 Cobrar equipe",IF(I74&gt;0,"🟡 Em execução","🟢 Em dia"))))</f>
        <v/>
      </c>
      <c r="L74" s="26"/>
    </row>
    <row r="75" customFormat="false" ht="15" hidden="false" customHeight="false" outlineLevel="0" collapsed="false">
      <c r="A75" s="26"/>
      <c r="B75" s="26"/>
      <c r="C75" s="26"/>
      <c r="D75" s="26"/>
      <c r="E75" s="27"/>
      <c r="F75" s="26"/>
      <c r="G75" s="34" t="str">
        <f aca="true">IF(OR(A75="",E75=""),"",DATEDIF(E75,TODAY(),"m")+1)</f>
        <v/>
      </c>
      <c r="H75" s="35" t="str">
        <f aca="true">IF(A75="","",IF(_xlfn.MINIFS(Lançamentos!$C$2:$C$401,Lançamentos!$A$2:$A$401,A75,Lançamentos!$C$2:$C$401,"&gt;="&amp;TODAY())=0,"—",_xlfn.MINIFS(Lançamentos!$C$2:$C$401,Lançamentos!$A$2:$A$401,A75,Lançamentos!$C$2:$C$401,"&gt;="&amp;TODAY())))</f>
        <v/>
      </c>
      <c r="I75" s="34" t="str">
        <f aca="false">IF(A75="","",COUNTIFS(Lançamentos!$A$2:$A$401,A75,Lançamentos!$G$2:$G$401,"&lt;&gt;Concluído"))</f>
        <v/>
      </c>
      <c r="J75" s="34" t="str">
        <f aca="true">IF(A75="","",COUNTIFS(Lançamentos!$A$2:$A$401,A75,Lançamentos!$G$2:$G$401,"&lt;&gt;Concluído",Lançamentos!$F$2:$F$401,"&lt;"&amp;TODAY()))</f>
        <v/>
      </c>
      <c r="K75" s="29" t="str">
        <f aca="false">IF(A75="","",IF(F75&lt;&gt;"Ativo","⚪ "&amp;F75,IF(J75&gt;0,"🔴 Cobrar equipe",IF(I75&gt;0,"🟡 Em execução","🟢 Em dia"))))</f>
        <v/>
      </c>
      <c r="L75" s="26"/>
    </row>
    <row r="76" customFormat="false" ht="15" hidden="false" customHeight="false" outlineLevel="0" collapsed="false">
      <c r="A76" s="26"/>
      <c r="B76" s="26"/>
      <c r="C76" s="26"/>
      <c r="D76" s="26"/>
      <c r="E76" s="27"/>
      <c r="F76" s="26"/>
      <c r="G76" s="34" t="str">
        <f aca="true">IF(OR(A76="",E76=""),"",DATEDIF(E76,TODAY(),"m")+1)</f>
        <v/>
      </c>
      <c r="H76" s="35" t="str">
        <f aca="true">IF(A76="","",IF(_xlfn.MINIFS(Lançamentos!$C$2:$C$401,Lançamentos!$A$2:$A$401,A76,Lançamentos!$C$2:$C$401,"&gt;="&amp;TODAY())=0,"—",_xlfn.MINIFS(Lançamentos!$C$2:$C$401,Lançamentos!$A$2:$A$401,A76,Lançamentos!$C$2:$C$401,"&gt;="&amp;TODAY())))</f>
        <v/>
      </c>
      <c r="I76" s="34" t="str">
        <f aca="false">IF(A76="","",COUNTIFS(Lançamentos!$A$2:$A$401,A76,Lançamentos!$G$2:$G$401,"&lt;&gt;Concluído"))</f>
        <v/>
      </c>
      <c r="J76" s="34" t="str">
        <f aca="true">IF(A76="","",COUNTIFS(Lançamentos!$A$2:$A$401,A76,Lançamentos!$G$2:$G$401,"&lt;&gt;Concluído",Lançamentos!$F$2:$F$401,"&lt;"&amp;TODAY()))</f>
        <v/>
      </c>
      <c r="K76" s="29" t="str">
        <f aca="false">IF(A76="","",IF(F76&lt;&gt;"Ativo","⚪ "&amp;F76,IF(J76&gt;0,"🔴 Cobrar equipe",IF(I76&gt;0,"🟡 Em execução","🟢 Em dia"))))</f>
        <v/>
      </c>
      <c r="L76" s="26"/>
    </row>
    <row r="77" customFormat="false" ht="15" hidden="false" customHeight="false" outlineLevel="0" collapsed="false">
      <c r="A77" s="26"/>
      <c r="B77" s="26"/>
      <c r="C77" s="26"/>
      <c r="D77" s="26"/>
      <c r="E77" s="27"/>
      <c r="F77" s="26"/>
      <c r="G77" s="34" t="str">
        <f aca="true">IF(OR(A77="",E77=""),"",DATEDIF(E77,TODAY(),"m")+1)</f>
        <v/>
      </c>
      <c r="H77" s="35" t="str">
        <f aca="true">IF(A77="","",IF(_xlfn.MINIFS(Lançamentos!$C$2:$C$401,Lançamentos!$A$2:$A$401,A77,Lançamentos!$C$2:$C$401,"&gt;="&amp;TODAY())=0,"—",_xlfn.MINIFS(Lançamentos!$C$2:$C$401,Lançamentos!$A$2:$A$401,A77,Lançamentos!$C$2:$C$401,"&gt;="&amp;TODAY())))</f>
        <v/>
      </c>
      <c r="I77" s="34" t="str">
        <f aca="false">IF(A77="","",COUNTIFS(Lançamentos!$A$2:$A$401,A77,Lançamentos!$G$2:$G$401,"&lt;&gt;Concluído"))</f>
        <v/>
      </c>
      <c r="J77" s="34" t="str">
        <f aca="true">IF(A77="","",COUNTIFS(Lançamentos!$A$2:$A$401,A77,Lançamentos!$G$2:$G$401,"&lt;&gt;Concluído",Lançamentos!$F$2:$F$401,"&lt;"&amp;TODAY()))</f>
        <v/>
      </c>
      <c r="K77" s="29" t="str">
        <f aca="false">IF(A77="","",IF(F77&lt;&gt;"Ativo","⚪ "&amp;F77,IF(J77&gt;0,"🔴 Cobrar equipe",IF(I77&gt;0,"🟡 Em execução","🟢 Em dia"))))</f>
        <v/>
      </c>
      <c r="L77" s="26"/>
    </row>
    <row r="78" customFormat="false" ht="15" hidden="false" customHeight="false" outlineLevel="0" collapsed="false">
      <c r="A78" s="26"/>
      <c r="B78" s="26"/>
      <c r="C78" s="26"/>
      <c r="D78" s="26"/>
      <c r="E78" s="27"/>
      <c r="F78" s="26"/>
      <c r="G78" s="34" t="str">
        <f aca="true">IF(OR(A78="",E78=""),"",DATEDIF(E78,TODAY(),"m")+1)</f>
        <v/>
      </c>
      <c r="H78" s="35" t="str">
        <f aca="true">IF(A78="","",IF(_xlfn.MINIFS(Lançamentos!$C$2:$C$401,Lançamentos!$A$2:$A$401,A78,Lançamentos!$C$2:$C$401,"&gt;="&amp;TODAY())=0,"—",_xlfn.MINIFS(Lançamentos!$C$2:$C$401,Lançamentos!$A$2:$A$401,A78,Lançamentos!$C$2:$C$401,"&gt;="&amp;TODAY())))</f>
        <v/>
      </c>
      <c r="I78" s="34" t="str">
        <f aca="false">IF(A78="","",COUNTIFS(Lançamentos!$A$2:$A$401,A78,Lançamentos!$G$2:$G$401,"&lt;&gt;Concluído"))</f>
        <v/>
      </c>
      <c r="J78" s="34" t="str">
        <f aca="true">IF(A78="","",COUNTIFS(Lançamentos!$A$2:$A$401,A78,Lançamentos!$G$2:$G$401,"&lt;&gt;Concluído",Lançamentos!$F$2:$F$401,"&lt;"&amp;TODAY()))</f>
        <v/>
      </c>
      <c r="K78" s="29" t="str">
        <f aca="false">IF(A78="","",IF(F78&lt;&gt;"Ativo","⚪ "&amp;F78,IF(J78&gt;0,"🔴 Cobrar equipe",IF(I78&gt;0,"🟡 Em execução","🟢 Em dia"))))</f>
        <v/>
      </c>
      <c r="L78" s="26"/>
    </row>
    <row r="79" customFormat="false" ht="15" hidden="false" customHeight="false" outlineLevel="0" collapsed="false">
      <c r="A79" s="26"/>
      <c r="B79" s="26"/>
      <c r="C79" s="26"/>
      <c r="D79" s="26"/>
      <c r="E79" s="27"/>
      <c r="F79" s="26"/>
      <c r="G79" s="34" t="str">
        <f aca="true">IF(OR(A79="",E79=""),"",DATEDIF(E79,TODAY(),"m")+1)</f>
        <v/>
      </c>
      <c r="H79" s="35" t="str">
        <f aca="true">IF(A79="","",IF(_xlfn.MINIFS(Lançamentos!$C$2:$C$401,Lançamentos!$A$2:$A$401,A79,Lançamentos!$C$2:$C$401,"&gt;="&amp;TODAY())=0,"—",_xlfn.MINIFS(Lançamentos!$C$2:$C$401,Lançamentos!$A$2:$A$401,A79,Lançamentos!$C$2:$C$401,"&gt;="&amp;TODAY())))</f>
        <v/>
      </c>
      <c r="I79" s="34" t="str">
        <f aca="false">IF(A79="","",COUNTIFS(Lançamentos!$A$2:$A$401,A79,Lançamentos!$G$2:$G$401,"&lt;&gt;Concluído"))</f>
        <v/>
      </c>
      <c r="J79" s="34" t="str">
        <f aca="true">IF(A79="","",COUNTIFS(Lançamentos!$A$2:$A$401,A79,Lançamentos!$G$2:$G$401,"&lt;&gt;Concluído",Lançamentos!$F$2:$F$401,"&lt;"&amp;TODAY()))</f>
        <v/>
      </c>
      <c r="K79" s="29" t="str">
        <f aca="false">IF(A79="","",IF(F79&lt;&gt;"Ativo","⚪ "&amp;F79,IF(J79&gt;0,"🔴 Cobrar equipe",IF(I79&gt;0,"🟡 Em execução","🟢 Em dia"))))</f>
        <v/>
      </c>
      <c r="L79" s="26"/>
    </row>
    <row r="80" customFormat="false" ht="15" hidden="false" customHeight="false" outlineLevel="0" collapsed="false">
      <c r="A80" s="26"/>
      <c r="B80" s="26"/>
      <c r="C80" s="26"/>
      <c r="D80" s="26"/>
      <c r="E80" s="27"/>
      <c r="F80" s="26"/>
      <c r="G80" s="34" t="str">
        <f aca="true">IF(OR(A80="",E80=""),"",DATEDIF(E80,TODAY(),"m")+1)</f>
        <v/>
      </c>
      <c r="H80" s="35" t="str">
        <f aca="true">IF(A80="","",IF(_xlfn.MINIFS(Lançamentos!$C$2:$C$401,Lançamentos!$A$2:$A$401,A80,Lançamentos!$C$2:$C$401,"&gt;="&amp;TODAY())=0,"—",_xlfn.MINIFS(Lançamentos!$C$2:$C$401,Lançamentos!$A$2:$A$401,A80,Lançamentos!$C$2:$C$401,"&gt;="&amp;TODAY())))</f>
        <v/>
      </c>
      <c r="I80" s="34" t="str">
        <f aca="false">IF(A80="","",COUNTIFS(Lançamentos!$A$2:$A$401,A80,Lançamentos!$G$2:$G$401,"&lt;&gt;Concluído"))</f>
        <v/>
      </c>
      <c r="J80" s="34" t="str">
        <f aca="true">IF(A80="","",COUNTIFS(Lançamentos!$A$2:$A$401,A80,Lançamentos!$G$2:$G$401,"&lt;&gt;Concluído",Lançamentos!$F$2:$F$401,"&lt;"&amp;TODAY()))</f>
        <v/>
      </c>
      <c r="K80" s="29" t="str">
        <f aca="false">IF(A80="","",IF(F80&lt;&gt;"Ativo","⚪ "&amp;F80,IF(J80&gt;0,"🔴 Cobrar equipe",IF(I80&gt;0,"🟡 Em execução","🟢 Em dia"))))</f>
        <v/>
      </c>
      <c r="L80" s="26"/>
    </row>
    <row r="81" customFormat="false" ht="15" hidden="false" customHeight="false" outlineLevel="0" collapsed="false">
      <c r="A81" s="26"/>
      <c r="B81" s="26"/>
      <c r="C81" s="26"/>
      <c r="D81" s="26"/>
      <c r="E81" s="27"/>
      <c r="F81" s="26"/>
      <c r="G81" s="34" t="str">
        <f aca="true">IF(OR(A81="",E81=""),"",DATEDIF(E81,TODAY(),"m")+1)</f>
        <v/>
      </c>
      <c r="H81" s="35" t="str">
        <f aca="true">IF(A81="","",IF(_xlfn.MINIFS(Lançamentos!$C$2:$C$401,Lançamentos!$A$2:$A$401,A81,Lançamentos!$C$2:$C$401,"&gt;="&amp;TODAY())=0,"—",_xlfn.MINIFS(Lançamentos!$C$2:$C$401,Lançamentos!$A$2:$A$401,A81,Lançamentos!$C$2:$C$401,"&gt;="&amp;TODAY())))</f>
        <v/>
      </c>
      <c r="I81" s="34" t="str">
        <f aca="false">IF(A81="","",COUNTIFS(Lançamentos!$A$2:$A$401,A81,Lançamentos!$G$2:$G$401,"&lt;&gt;Concluído"))</f>
        <v/>
      </c>
      <c r="J81" s="34" t="str">
        <f aca="true">IF(A81="","",COUNTIFS(Lançamentos!$A$2:$A$401,A81,Lançamentos!$G$2:$G$401,"&lt;&gt;Concluído",Lançamentos!$F$2:$F$401,"&lt;"&amp;TODAY()))</f>
        <v/>
      </c>
      <c r="K81" s="29" t="str">
        <f aca="false">IF(A81="","",IF(F81&lt;&gt;"Ativo","⚪ "&amp;F81,IF(J81&gt;0,"🔴 Cobrar equipe",IF(I81&gt;0,"🟡 Em execução","🟢 Em dia"))))</f>
        <v/>
      </c>
      <c r="L81" s="26"/>
    </row>
    <row r="82" customFormat="false" ht="15" hidden="false" customHeight="false" outlineLevel="0" collapsed="false">
      <c r="A82" s="26"/>
      <c r="B82" s="26"/>
      <c r="C82" s="26"/>
      <c r="D82" s="26"/>
      <c r="E82" s="27"/>
      <c r="F82" s="26"/>
      <c r="G82" s="34" t="str">
        <f aca="true">IF(OR(A82="",E82=""),"",DATEDIF(E82,TODAY(),"m")+1)</f>
        <v/>
      </c>
      <c r="H82" s="35" t="str">
        <f aca="true">IF(A82="","",IF(_xlfn.MINIFS(Lançamentos!$C$2:$C$401,Lançamentos!$A$2:$A$401,A82,Lançamentos!$C$2:$C$401,"&gt;="&amp;TODAY())=0,"—",_xlfn.MINIFS(Lançamentos!$C$2:$C$401,Lançamentos!$A$2:$A$401,A82,Lançamentos!$C$2:$C$401,"&gt;="&amp;TODAY())))</f>
        <v/>
      </c>
      <c r="I82" s="34" t="str">
        <f aca="false">IF(A82="","",COUNTIFS(Lançamentos!$A$2:$A$401,A82,Lançamentos!$G$2:$G$401,"&lt;&gt;Concluído"))</f>
        <v/>
      </c>
      <c r="J82" s="34" t="str">
        <f aca="true">IF(A82="","",COUNTIFS(Lançamentos!$A$2:$A$401,A82,Lançamentos!$G$2:$G$401,"&lt;&gt;Concluído",Lançamentos!$F$2:$F$401,"&lt;"&amp;TODAY()))</f>
        <v/>
      </c>
      <c r="K82" s="29" t="str">
        <f aca="false">IF(A82="","",IF(F82&lt;&gt;"Ativo","⚪ "&amp;F82,IF(J82&gt;0,"🔴 Cobrar equipe",IF(I82&gt;0,"🟡 Em execução","🟢 Em dia"))))</f>
        <v/>
      </c>
      <c r="L82" s="26"/>
    </row>
    <row r="83" customFormat="false" ht="15" hidden="false" customHeight="false" outlineLevel="0" collapsed="false">
      <c r="A83" s="26"/>
      <c r="B83" s="26"/>
      <c r="C83" s="26"/>
      <c r="D83" s="26"/>
      <c r="E83" s="27"/>
      <c r="F83" s="26"/>
      <c r="G83" s="34" t="str">
        <f aca="true">IF(OR(A83="",E83=""),"",DATEDIF(E83,TODAY(),"m")+1)</f>
        <v/>
      </c>
      <c r="H83" s="35" t="str">
        <f aca="true">IF(A83="","",IF(_xlfn.MINIFS(Lançamentos!$C$2:$C$401,Lançamentos!$A$2:$A$401,A83,Lançamentos!$C$2:$C$401,"&gt;="&amp;TODAY())=0,"—",_xlfn.MINIFS(Lançamentos!$C$2:$C$401,Lançamentos!$A$2:$A$401,A83,Lançamentos!$C$2:$C$401,"&gt;="&amp;TODAY())))</f>
        <v/>
      </c>
      <c r="I83" s="34" t="str">
        <f aca="false">IF(A83="","",COUNTIFS(Lançamentos!$A$2:$A$401,A83,Lançamentos!$G$2:$G$401,"&lt;&gt;Concluído"))</f>
        <v/>
      </c>
      <c r="J83" s="34" t="str">
        <f aca="true">IF(A83="","",COUNTIFS(Lançamentos!$A$2:$A$401,A83,Lançamentos!$G$2:$G$401,"&lt;&gt;Concluído",Lançamentos!$F$2:$F$401,"&lt;"&amp;TODAY()))</f>
        <v/>
      </c>
      <c r="K83" s="29" t="str">
        <f aca="false">IF(A83="","",IF(F83&lt;&gt;"Ativo","⚪ "&amp;F83,IF(J83&gt;0,"🔴 Cobrar equipe",IF(I83&gt;0,"🟡 Em execução","🟢 Em dia"))))</f>
        <v/>
      </c>
      <c r="L83" s="26"/>
    </row>
    <row r="84" customFormat="false" ht="15" hidden="false" customHeight="false" outlineLevel="0" collapsed="false">
      <c r="A84" s="26"/>
      <c r="B84" s="26"/>
      <c r="C84" s="26"/>
      <c r="D84" s="26"/>
      <c r="E84" s="27"/>
      <c r="F84" s="26"/>
      <c r="G84" s="34" t="str">
        <f aca="true">IF(OR(A84="",E84=""),"",DATEDIF(E84,TODAY(),"m")+1)</f>
        <v/>
      </c>
      <c r="H84" s="35" t="str">
        <f aca="true">IF(A84="","",IF(_xlfn.MINIFS(Lançamentos!$C$2:$C$401,Lançamentos!$A$2:$A$401,A84,Lançamentos!$C$2:$C$401,"&gt;="&amp;TODAY())=0,"—",_xlfn.MINIFS(Lançamentos!$C$2:$C$401,Lançamentos!$A$2:$A$401,A84,Lançamentos!$C$2:$C$401,"&gt;="&amp;TODAY())))</f>
        <v/>
      </c>
      <c r="I84" s="34" t="str">
        <f aca="false">IF(A84="","",COUNTIFS(Lançamentos!$A$2:$A$401,A84,Lançamentos!$G$2:$G$401,"&lt;&gt;Concluído"))</f>
        <v/>
      </c>
      <c r="J84" s="34" t="str">
        <f aca="true">IF(A84="","",COUNTIFS(Lançamentos!$A$2:$A$401,A84,Lançamentos!$G$2:$G$401,"&lt;&gt;Concluído",Lançamentos!$F$2:$F$401,"&lt;"&amp;TODAY()))</f>
        <v/>
      </c>
      <c r="K84" s="29" t="str">
        <f aca="false">IF(A84="","",IF(F84&lt;&gt;"Ativo","⚪ "&amp;F84,IF(J84&gt;0,"🔴 Cobrar equipe",IF(I84&gt;0,"🟡 Em execução","🟢 Em dia"))))</f>
        <v/>
      </c>
      <c r="L84" s="26"/>
    </row>
    <row r="85" customFormat="false" ht="15" hidden="false" customHeight="false" outlineLevel="0" collapsed="false">
      <c r="A85" s="26"/>
      <c r="B85" s="26"/>
      <c r="C85" s="26"/>
      <c r="D85" s="26"/>
      <c r="E85" s="27"/>
      <c r="F85" s="26"/>
      <c r="G85" s="34" t="str">
        <f aca="true">IF(OR(A85="",E85=""),"",DATEDIF(E85,TODAY(),"m")+1)</f>
        <v/>
      </c>
      <c r="H85" s="35" t="str">
        <f aca="true">IF(A85="","",IF(_xlfn.MINIFS(Lançamentos!$C$2:$C$401,Lançamentos!$A$2:$A$401,A85,Lançamentos!$C$2:$C$401,"&gt;="&amp;TODAY())=0,"—",_xlfn.MINIFS(Lançamentos!$C$2:$C$401,Lançamentos!$A$2:$A$401,A85,Lançamentos!$C$2:$C$401,"&gt;="&amp;TODAY())))</f>
        <v/>
      </c>
      <c r="I85" s="34" t="str">
        <f aca="false">IF(A85="","",COUNTIFS(Lançamentos!$A$2:$A$401,A85,Lançamentos!$G$2:$G$401,"&lt;&gt;Concluído"))</f>
        <v/>
      </c>
      <c r="J85" s="34" t="str">
        <f aca="true">IF(A85="","",COUNTIFS(Lançamentos!$A$2:$A$401,A85,Lançamentos!$G$2:$G$401,"&lt;&gt;Concluído",Lançamentos!$F$2:$F$401,"&lt;"&amp;TODAY()))</f>
        <v/>
      </c>
      <c r="K85" s="29" t="str">
        <f aca="false">IF(A85="","",IF(F85&lt;&gt;"Ativo","⚪ "&amp;F85,IF(J85&gt;0,"🔴 Cobrar equipe",IF(I85&gt;0,"🟡 Em execução","🟢 Em dia"))))</f>
        <v/>
      </c>
      <c r="L85" s="26"/>
    </row>
    <row r="86" customFormat="false" ht="15" hidden="false" customHeight="false" outlineLevel="0" collapsed="false">
      <c r="A86" s="26"/>
      <c r="B86" s="26"/>
      <c r="C86" s="26"/>
      <c r="D86" s="26"/>
      <c r="E86" s="27"/>
      <c r="F86" s="26"/>
      <c r="G86" s="34" t="str">
        <f aca="true">IF(OR(A86="",E86=""),"",DATEDIF(E86,TODAY(),"m")+1)</f>
        <v/>
      </c>
      <c r="H86" s="35" t="str">
        <f aca="true">IF(A86="","",IF(_xlfn.MINIFS(Lançamentos!$C$2:$C$401,Lançamentos!$A$2:$A$401,A86,Lançamentos!$C$2:$C$401,"&gt;="&amp;TODAY())=0,"—",_xlfn.MINIFS(Lançamentos!$C$2:$C$401,Lançamentos!$A$2:$A$401,A86,Lançamentos!$C$2:$C$401,"&gt;="&amp;TODAY())))</f>
        <v/>
      </c>
      <c r="I86" s="34" t="str">
        <f aca="false">IF(A86="","",COUNTIFS(Lançamentos!$A$2:$A$401,A86,Lançamentos!$G$2:$G$401,"&lt;&gt;Concluído"))</f>
        <v/>
      </c>
      <c r="J86" s="34" t="str">
        <f aca="true">IF(A86="","",COUNTIFS(Lançamentos!$A$2:$A$401,A86,Lançamentos!$G$2:$G$401,"&lt;&gt;Concluído",Lançamentos!$F$2:$F$401,"&lt;"&amp;TODAY()))</f>
        <v/>
      </c>
      <c r="K86" s="29" t="str">
        <f aca="false">IF(A86="","",IF(F86&lt;&gt;"Ativo","⚪ "&amp;F86,IF(J86&gt;0,"🔴 Cobrar equipe",IF(I86&gt;0,"🟡 Em execução","🟢 Em dia"))))</f>
        <v/>
      </c>
      <c r="L86" s="26"/>
    </row>
    <row r="87" customFormat="false" ht="15" hidden="false" customHeight="false" outlineLevel="0" collapsed="false">
      <c r="A87" s="26"/>
      <c r="B87" s="26"/>
      <c r="C87" s="26"/>
      <c r="D87" s="26"/>
      <c r="E87" s="27"/>
      <c r="F87" s="26"/>
      <c r="G87" s="34" t="str">
        <f aca="true">IF(OR(A87="",E87=""),"",DATEDIF(E87,TODAY(),"m")+1)</f>
        <v/>
      </c>
      <c r="H87" s="35" t="str">
        <f aca="true">IF(A87="","",IF(_xlfn.MINIFS(Lançamentos!$C$2:$C$401,Lançamentos!$A$2:$A$401,A87,Lançamentos!$C$2:$C$401,"&gt;="&amp;TODAY())=0,"—",_xlfn.MINIFS(Lançamentos!$C$2:$C$401,Lançamentos!$A$2:$A$401,A87,Lançamentos!$C$2:$C$401,"&gt;="&amp;TODAY())))</f>
        <v/>
      </c>
      <c r="I87" s="34" t="str">
        <f aca="false">IF(A87="","",COUNTIFS(Lançamentos!$A$2:$A$401,A87,Lançamentos!$G$2:$G$401,"&lt;&gt;Concluído"))</f>
        <v/>
      </c>
      <c r="J87" s="34" t="str">
        <f aca="true">IF(A87="","",COUNTIFS(Lançamentos!$A$2:$A$401,A87,Lançamentos!$G$2:$G$401,"&lt;&gt;Concluído",Lançamentos!$F$2:$F$401,"&lt;"&amp;TODAY()))</f>
        <v/>
      </c>
      <c r="K87" s="29" t="str">
        <f aca="false">IF(A87="","",IF(F87&lt;&gt;"Ativo","⚪ "&amp;F87,IF(J87&gt;0,"🔴 Cobrar equipe",IF(I87&gt;0,"🟡 Em execução","🟢 Em dia"))))</f>
        <v/>
      </c>
      <c r="L87" s="26"/>
    </row>
    <row r="88" customFormat="false" ht="15" hidden="false" customHeight="false" outlineLevel="0" collapsed="false">
      <c r="A88" s="26"/>
      <c r="B88" s="26"/>
      <c r="C88" s="26"/>
      <c r="D88" s="26"/>
      <c r="E88" s="27"/>
      <c r="F88" s="26"/>
      <c r="G88" s="34" t="str">
        <f aca="true">IF(OR(A88="",E88=""),"",DATEDIF(E88,TODAY(),"m")+1)</f>
        <v/>
      </c>
      <c r="H88" s="35" t="str">
        <f aca="true">IF(A88="","",IF(_xlfn.MINIFS(Lançamentos!$C$2:$C$401,Lançamentos!$A$2:$A$401,A88,Lançamentos!$C$2:$C$401,"&gt;="&amp;TODAY())=0,"—",_xlfn.MINIFS(Lançamentos!$C$2:$C$401,Lançamentos!$A$2:$A$401,A88,Lançamentos!$C$2:$C$401,"&gt;="&amp;TODAY())))</f>
        <v/>
      </c>
      <c r="I88" s="34" t="str">
        <f aca="false">IF(A88="","",COUNTIFS(Lançamentos!$A$2:$A$401,A88,Lançamentos!$G$2:$G$401,"&lt;&gt;Concluído"))</f>
        <v/>
      </c>
      <c r="J88" s="34" t="str">
        <f aca="true">IF(A88="","",COUNTIFS(Lançamentos!$A$2:$A$401,A88,Lançamentos!$G$2:$G$401,"&lt;&gt;Concluído",Lançamentos!$F$2:$F$401,"&lt;"&amp;TODAY()))</f>
        <v/>
      </c>
      <c r="K88" s="29" t="str">
        <f aca="false">IF(A88="","",IF(F88&lt;&gt;"Ativo","⚪ "&amp;F88,IF(J88&gt;0,"🔴 Cobrar equipe",IF(I88&gt;0,"🟡 Em execução","🟢 Em dia"))))</f>
        <v/>
      </c>
      <c r="L88" s="26"/>
    </row>
    <row r="89" customFormat="false" ht="15" hidden="false" customHeight="false" outlineLevel="0" collapsed="false">
      <c r="A89" s="26"/>
      <c r="B89" s="26"/>
      <c r="C89" s="26"/>
      <c r="D89" s="26"/>
      <c r="E89" s="27"/>
      <c r="F89" s="26"/>
      <c r="G89" s="34" t="str">
        <f aca="true">IF(OR(A89="",E89=""),"",DATEDIF(E89,TODAY(),"m")+1)</f>
        <v/>
      </c>
      <c r="H89" s="35" t="str">
        <f aca="true">IF(A89="","",IF(_xlfn.MINIFS(Lançamentos!$C$2:$C$401,Lançamentos!$A$2:$A$401,A89,Lançamentos!$C$2:$C$401,"&gt;="&amp;TODAY())=0,"—",_xlfn.MINIFS(Lançamentos!$C$2:$C$401,Lançamentos!$A$2:$A$401,A89,Lançamentos!$C$2:$C$401,"&gt;="&amp;TODAY())))</f>
        <v/>
      </c>
      <c r="I89" s="34" t="str">
        <f aca="false">IF(A89="","",COUNTIFS(Lançamentos!$A$2:$A$401,A89,Lançamentos!$G$2:$G$401,"&lt;&gt;Concluído"))</f>
        <v/>
      </c>
      <c r="J89" s="34" t="str">
        <f aca="true">IF(A89="","",COUNTIFS(Lançamentos!$A$2:$A$401,A89,Lançamentos!$G$2:$G$401,"&lt;&gt;Concluído",Lançamentos!$F$2:$F$401,"&lt;"&amp;TODAY()))</f>
        <v/>
      </c>
      <c r="K89" s="29" t="str">
        <f aca="false">IF(A89="","",IF(F89&lt;&gt;"Ativo","⚪ "&amp;F89,IF(J89&gt;0,"🔴 Cobrar equipe",IF(I89&gt;0,"🟡 Em execução","🟢 Em dia"))))</f>
        <v/>
      </c>
      <c r="L89" s="26"/>
    </row>
    <row r="90" customFormat="false" ht="15" hidden="false" customHeight="false" outlineLevel="0" collapsed="false">
      <c r="A90" s="26"/>
      <c r="B90" s="26"/>
      <c r="C90" s="26"/>
      <c r="D90" s="26"/>
      <c r="E90" s="27"/>
      <c r="F90" s="26"/>
      <c r="G90" s="34" t="str">
        <f aca="true">IF(OR(A90="",E90=""),"",DATEDIF(E90,TODAY(),"m")+1)</f>
        <v/>
      </c>
      <c r="H90" s="35" t="str">
        <f aca="true">IF(A90="","",IF(_xlfn.MINIFS(Lançamentos!$C$2:$C$401,Lançamentos!$A$2:$A$401,A90,Lançamentos!$C$2:$C$401,"&gt;="&amp;TODAY())=0,"—",_xlfn.MINIFS(Lançamentos!$C$2:$C$401,Lançamentos!$A$2:$A$401,A90,Lançamentos!$C$2:$C$401,"&gt;="&amp;TODAY())))</f>
        <v/>
      </c>
      <c r="I90" s="34" t="str">
        <f aca="false">IF(A90="","",COUNTIFS(Lançamentos!$A$2:$A$401,A90,Lançamentos!$G$2:$G$401,"&lt;&gt;Concluído"))</f>
        <v/>
      </c>
      <c r="J90" s="34" t="str">
        <f aca="true">IF(A90="","",COUNTIFS(Lançamentos!$A$2:$A$401,A90,Lançamentos!$G$2:$G$401,"&lt;&gt;Concluído",Lançamentos!$F$2:$F$401,"&lt;"&amp;TODAY()))</f>
        <v/>
      </c>
      <c r="K90" s="29" t="str">
        <f aca="false">IF(A90="","",IF(F90&lt;&gt;"Ativo","⚪ "&amp;F90,IF(J90&gt;0,"🔴 Cobrar equipe",IF(I90&gt;0,"🟡 Em execução","🟢 Em dia"))))</f>
        <v/>
      </c>
      <c r="L90" s="26"/>
    </row>
    <row r="91" customFormat="false" ht="15" hidden="false" customHeight="false" outlineLevel="0" collapsed="false">
      <c r="A91" s="26"/>
      <c r="B91" s="26"/>
      <c r="C91" s="26"/>
      <c r="D91" s="26"/>
      <c r="E91" s="27"/>
      <c r="F91" s="26"/>
      <c r="G91" s="34" t="str">
        <f aca="true">IF(OR(A91="",E91=""),"",DATEDIF(E91,TODAY(),"m")+1)</f>
        <v/>
      </c>
      <c r="H91" s="35" t="str">
        <f aca="true">IF(A91="","",IF(_xlfn.MINIFS(Lançamentos!$C$2:$C$401,Lançamentos!$A$2:$A$401,A91,Lançamentos!$C$2:$C$401,"&gt;="&amp;TODAY())=0,"—",_xlfn.MINIFS(Lançamentos!$C$2:$C$401,Lançamentos!$A$2:$A$401,A91,Lançamentos!$C$2:$C$401,"&gt;="&amp;TODAY())))</f>
        <v/>
      </c>
      <c r="I91" s="34" t="str">
        <f aca="false">IF(A91="","",COUNTIFS(Lançamentos!$A$2:$A$401,A91,Lançamentos!$G$2:$G$401,"&lt;&gt;Concluído"))</f>
        <v/>
      </c>
      <c r="J91" s="34" t="str">
        <f aca="true">IF(A91="","",COUNTIFS(Lançamentos!$A$2:$A$401,A91,Lançamentos!$G$2:$G$401,"&lt;&gt;Concluído",Lançamentos!$F$2:$F$401,"&lt;"&amp;TODAY()))</f>
        <v/>
      </c>
      <c r="K91" s="29" t="str">
        <f aca="false">IF(A91="","",IF(F91&lt;&gt;"Ativo","⚪ "&amp;F91,IF(J91&gt;0,"🔴 Cobrar equipe",IF(I91&gt;0,"🟡 Em execução","🟢 Em dia"))))</f>
        <v/>
      </c>
      <c r="L91" s="26"/>
    </row>
    <row r="92" customFormat="false" ht="15" hidden="false" customHeight="false" outlineLevel="0" collapsed="false">
      <c r="A92" s="26"/>
      <c r="B92" s="26"/>
      <c r="C92" s="26"/>
      <c r="D92" s="26"/>
      <c r="E92" s="27"/>
      <c r="F92" s="26"/>
      <c r="G92" s="34" t="str">
        <f aca="true">IF(OR(A92="",E92=""),"",DATEDIF(E92,TODAY(),"m")+1)</f>
        <v/>
      </c>
      <c r="H92" s="35" t="str">
        <f aca="true">IF(A92="","",IF(_xlfn.MINIFS(Lançamentos!$C$2:$C$401,Lançamentos!$A$2:$A$401,A92,Lançamentos!$C$2:$C$401,"&gt;="&amp;TODAY())=0,"—",_xlfn.MINIFS(Lançamentos!$C$2:$C$401,Lançamentos!$A$2:$A$401,A92,Lançamentos!$C$2:$C$401,"&gt;="&amp;TODAY())))</f>
        <v/>
      </c>
      <c r="I92" s="34" t="str">
        <f aca="false">IF(A92="","",COUNTIFS(Lançamentos!$A$2:$A$401,A92,Lançamentos!$G$2:$G$401,"&lt;&gt;Concluído"))</f>
        <v/>
      </c>
      <c r="J92" s="34" t="str">
        <f aca="true">IF(A92="","",COUNTIFS(Lançamentos!$A$2:$A$401,A92,Lançamentos!$G$2:$G$401,"&lt;&gt;Concluído",Lançamentos!$F$2:$F$401,"&lt;"&amp;TODAY()))</f>
        <v/>
      </c>
      <c r="K92" s="29" t="str">
        <f aca="false">IF(A92="","",IF(F92&lt;&gt;"Ativo","⚪ "&amp;F92,IF(J92&gt;0,"🔴 Cobrar equipe",IF(I92&gt;0,"🟡 Em execução","🟢 Em dia"))))</f>
        <v/>
      </c>
      <c r="L92" s="26"/>
    </row>
    <row r="93" customFormat="false" ht="15" hidden="false" customHeight="false" outlineLevel="0" collapsed="false">
      <c r="A93" s="26"/>
      <c r="B93" s="26"/>
      <c r="C93" s="26"/>
      <c r="D93" s="26"/>
      <c r="E93" s="27"/>
      <c r="F93" s="26"/>
      <c r="G93" s="34" t="str">
        <f aca="true">IF(OR(A93="",E93=""),"",DATEDIF(E93,TODAY(),"m")+1)</f>
        <v/>
      </c>
      <c r="H93" s="35" t="str">
        <f aca="true">IF(A93="","",IF(_xlfn.MINIFS(Lançamentos!$C$2:$C$401,Lançamentos!$A$2:$A$401,A93,Lançamentos!$C$2:$C$401,"&gt;="&amp;TODAY())=0,"—",_xlfn.MINIFS(Lançamentos!$C$2:$C$401,Lançamentos!$A$2:$A$401,A93,Lançamentos!$C$2:$C$401,"&gt;="&amp;TODAY())))</f>
        <v/>
      </c>
      <c r="I93" s="34" t="str">
        <f aca="false">IF(A93="","",COUNTIFS(Lançamentos!$A$2:$A$401,A93,Lançamentos!$G$2:$G$401,"&lt;&gt;Concluído"))</f>
        <v/>
      </c>
      <c r="J93" s="34" t="str">
        <f aca="true">IF(A93="","",COUNTIFS(Lançamentos!$A$2:$A$401,A93,Lançamentos!$G$2:$G$401,"&lt;&gt;Concluído",Lançamentos!$F$2:$F$401,"&lt;"&amp;TODAY()))</f>
        <v/>
      </c>
      <c r="K93" s="29" t="str">
        <f aca="false">IF(A93="","",IF(F93&lt;&gt;"Ativo","⚪ "&amp;F93,IF(J93&gt;0,"🔴 Cobrar equipe",IF(I93&gt;0,"🟡 Em execução","🟢 Em dia"))))</f>
        <v/>
      </c>
      <c r="L93" s="26"/>
    </row>
    <row r="94" customFormat="false" ht="15" hidden="false" customHeight="false" outlineLevel="0" collapsed="false">
      <c r="A94" s="26"/>
      <c r="B94" s="26"/>
      <c r="C94" s="26"/>
      <c r="D94" s="26"/>
      <c r="E94" s="27"/>
      <c r="F94" s="26"/>
      <c r="G94" s="34" t="str">
        <f aca="true">IF(OR(A94="",E94=""),"",DATEDIF(E94,TODAY(),"m")+1)</f>
        <v/>
      </c>
      <c r="H94" s="35" t="str">
        <f aca="true">IF(A94="","",IF(_xlfn.MINIFS(Lançamentos!$C$2:$C$401,Lançamentos!$A$2:$A$401,A94,Lançamentos!$C$2:$C$401,"&gt;="&amp;TODAY())=0,"—",_xlfn.MINIFS(Lançamentos!$C$2:$C$401,Lançamentos!$A$2:$A$401,A94,Lançamentos!$C$2:$C$401,"&gt;="&amp;TODAY())))</f>
        <v/>
      </c>
      <c r="I94" s="34" t="str">
        <f aca="false">IF(A94="","",COUNTIFS(Lançamentos!$A$2:$A$401,A94,Lançamentos!$G$2:$G$401,"&lt;&gt;Concluído"))</f>
        <v/>
      </c>
      <c r="J94" s="34" t="str">
        <f aca="true">IF(A94="","",COUNTIFS(Lançamentos!$A$2:$A$401,A94,Lançamentos!$G$2:$G$401,"&lt;&gt;Concluído",Lançamentos!$F$2:$F$401,"&lt;"&amp;TODAY()))</f>
        <v/>
      </c>
      <c r="K94" s="29" t="str">
        <f aca="false">IF(A94="","",IF(F94&lt;&gt;"Ativo","⚪ "&amp;F94,IF(J94&gt;0,"🔴 Cobrar equipe",IF(I94&gt;0,"🟡 Em execução","🟢 Em dia"))))</f>
        <v/>
      </c>
      <c r="L94" s="26"/>
    </row>
    <row r="95" customFormat="false" ht="15" hidden="false" customHeight="false" outlineLevel="0" collapsed="false">
      <c r="A95" s="26"/>
      <c r="B95" s="26"/>
      <c r="C95" s="26"/>
      <c r="D95" s="26"/>
      <c r="E95" s="27"/>
      <c r="F95" s="26"/>
      <c r="G95" s="34" t="str">
        <f aca="true">IF(OR(A95="",E95=""),"",DATEDIF(E95,TODAY(),"m")+1)</f>
        <v/>
      </c>
      <c r="H95" s="35" t="str">
        <f aca="true">IF(A95="","",IF(_xlfn.MINIFS(Lançamentos!$C$2:$C$401,Lançamentos!$A$2:$A$401,A95,Lançamentos!$C$2:$C$401,"&gt;="&amp;TODAY())=0,"—",_xlfn.MINIFS(Lançamentos!$C$2:$C$401,Lançamentos!$A$2:$A$401,A95,Lançamentos!$C$2:$C$401,"&gt;="&amp;TODAY())))</f>
        <v/>
      </c>
      <c r="I95" s="34" t="str">
        <f aca="false">IF(A95="","",COUNTIFS(Lançamentos!$A$2:$A$401,A95,Lançamentos!$G$2:$G$401,"&lt;&gt;Concluído"))</f>
        <v/>
      </c>
      <c r="J95" s="34" t="str">
        <f aca="true">IF(A95="","",COUNTIFS(Lançamentos!$A$2:$A$401,A95,Lançamentos!$G$2:$G$401,"&lt;&gt;Concluído",Lançamentos!$F$2:$F$401,"&lt;"&amp;TODAY()))</f>
        <v/>
      </c>
      <c r="K95" s="29" t="str">
        <f aca="false">IF(A95="","",IF(F95&lt;&gt;"Ativo","⚪ "&amp;F95,IF(J95&gt;0,"🔴 Cobrar equipe",IF(I95&gt;0,"🟡 Em execução","🟢 Em dia"))))</f>
        <v/>
      </c>
      <c r="L95" s="26"/>
    </row>
    <row r="96" customFormat="false" ht="15" hidden="false" customHeight="false" outlineLevel="0" collapsed="false">
      <c r="A96" s="26"/>
      <c r="B96" s="26"/>
      <c r="C96" s="26"/>
      <c r="D96" s="26"/>
      <c r="E96" s="27"/>
      <c r="F96" s="26"/>
      <c r="G96" s="34" t="str">
        <f aca="true">IF(OR(A96="",E96=""),"",DATEDIF(E96,TODAY(),"m")+1)</f>
        <v/>
      </c>
      <c r="H96" s="35" t="str">
        <f aca="true">IF(A96="","",IF(_xlfn.MINIFS(Lançamentos!$C$2:$C$401,Lançamentos!$A$2:$A$401,A96,Lançamentos!$C$2:$C$401,"&gt;="&amp;TODAY())=0,"—",_xlfn.MINIFS(Lançamentos!$C$2:$C$401,Lançamentos!$A$2:$A$401,A96,Lançamentos!$C$2:$C$401,"&gt;="&amp;TODAY())))</f>
        <v/>
      </c>
      <c r="I96" s="34" t="str">
        <f aca="false">IF(A96="","",COUNTIFS(Lançamentos!$A$2:$A$401,A96,Lançamentos!$G$2:$G$401,"&lt;&gt;Concluído"))</f>
        <v/>
      </c>
      <c r="J96" s="34" t="str">
        <f aca="true">IF(A96="","",COUNTIFS(Lançamentos!$A$2:$A$401,A96,Lançamentos!$G$2:$G$401,"&lt;&gt;Concluído",Lançamentos!$F$2:$F$401,"&lt;"&amp;TODAY()))</f>
        <v/>
      </c>
      <c r="K96" s="29" t="str">
        <f aca="false">IF(A96="","",IF(F96&lt;&gt;"Ativo","⚪ "&amp;F96,IF(J96&gt;0,"🔴 Cobrar equipe",IF(I96&gt;0,"🟡 Em execução","🟢 Em dia"))))</f>
        <v/>
      </c>
      <c r="L96" s="26"/>
    </row>
    <row r="97" customFormat="false" ht="15" hidden="false" customHeight="false" outlineLevel="0" collapsed="false">
      <c r="A97" s="26"/>
      <c r="B97" s="26"/>
      <c r="C97" s="26"/>
      <c r="D97" s="26"/>
      <c r="E97" s="27"/>
      <c r="F97" s="26"/>
      <c r="G97" s="34" t="str">
        <f aca="true">IF(OR(A97="",E97=""),"",DATEDIF(E97,TODAY(),"m")+1)</f>
        <v/>
      </c>
      <c r="H97" s="35" t="str">
        <f aca="true">IF(A97="","",IF(_xlfn.MINIFS(Lançamentos!$C$2:$C$401,Lançamentos!$A$2:$A$401,A97,Lançamentos!$C$2:$C$401,"&gt;="&amp;TODAY())=0,"—",_xlfn.MINIFS(Lançamentos!$C$2:$C$401,Lançamentos!$A$2:$A$401,A97,Lançamentos!$C$2:$C$401,"&gt;="&amp;TODAY())))</f>
        <v/>
      </c>
      <c r="I97" s="34" t="str">
        <f aca="false">IF(A97="","",COUNTIFS(Lançamentos!$A$2:$A$401,A97,Lançamentos!$G$2:$G$401,"&lt;&gt;Concluído"))</f>
        <v/>
      </c>
      <c r="J97" s="34" t="str">
        <f aca="true">IF(A97="","",COUNTIFS(Lançamentos!$A$2:$A$401,A97,Lançamentos!$G$2:$G$401,"&lt;&gt;Concluído",Lançamentos!$F$2:$F$401,"&lt;"&amp;TODAY()))</f>
        <v/>
      </c>
      <c r="K97" s="29" t="str">
        <f aca="false">IF(A97="","",IF(F97&lt;&gt;"Ativo","⚪ "&amp;F97,IF(J97&gt;0,"🔴 Cobrar equipe",IF(I97&gt;0,"🟡 Em execução","🟢 Em dia"))))</f>
        <v/>
      </c>
      <c r="L97" s="26"/>
    </row>
    <row r="98" customFormat="false" ht="15" hidden="false" customHeight="false" outlineLevel="0" collapsed="false">
      <c r="A98" s="26"/>
      <c r="B98" s="26"/>
      <c r="C98" s="26"/>
      <c r="D98" s="26"/>
      <c r="E98" s="27"/>
      <c r="F98" s="26"/>
      <c r="G98" s="34" t="str">
        <f aca="true">IF(OR(A98="",E98=""),"",DATEDIF(E98,TODAY(),"m")+1)</f>
        <v/>
      </c>
      <c r="H98" s="35" t="str">
        <f aca="true">IF(A98="","",IF(_xlfn.MINIFS(Lançamentos!$C$2:$C$401,Lançamentos!$A$2:$A$401,A98,Lançamentos!$C$2:$C$401,"&gt;="&amp;TODAY())=0,"—",_xlfn.MINIFS(Lançamentos!$C$2:$C$401,Lançamentos!$A$2:$A$401,A98,Lançamentos!$C$2:$C$401,"&gt;="&amp;TODAY())))</f>
        <v/>
      </c>
      <c r="I98" s="34" t="str">
        <f aca="false">IF(A98="","",COUNTIFS(Lançamentos!$A$2:$A$401,A98,Lançamentos!$G$2:$G$401,"&lt;&gt;Concluído"))</f>
        <v/>
      </c>
      <c r="J98" s="34" t="str">
        <f aca="true">IF(A98="","",COUNTIFS(Lançamentos!$A$2:$A$401,A98,Lançamentos!$G$2:$G$401,"&lt;&gt;Concluído",Lançamentos!$F$2:$F$401,"&lt;"&amp;TODAY()))</f>
        <v/>
      </c>
      <c r="K98" s="29" t="str">
        <f aca="false">IF(A98="","",IF(F98&lt;&gt;"Ativo","⚪ "&amp;F98,IF(J98&gt;0,"🔴 Cobrar equipe",IF(I98&gt;0,"🟡 Em execução","🟢 Em dia"))))</f>
        <v/>
      </c>
      <c r="L98" s="26"/>
    </row>
    <row r="99" customFormat="false" ht="15" hidden="false" customHeight="false" outlineLevel="0" collapsed="false">
      <c r="A99" s="26"/>
      <c r="B99" s="26"/>
      <c r="C99" s="26"/>
      <c r="D99" s="26"/>
      <c r="E99" s="27"/>
      <c r="F99" s="26"/>
      <c r="G99" s="34" t="str">
        <f aca="true">IF(OR(A99="",E99=""),"",DATEDIF(E99,TODAY(),"m")+1)</f>
        <v/>
      </c>
      <c r="H99" s="35" t="str">
        <f aca="true">IF(A99="","",IF(_xlfn.MINIFS(Lançamentos!$C$2:$C$401,Lançamentos!$A$2:$A$401,A99,Lançamentos!$C$2:$C$401,"&gt;="&amp;TODAY())=0,"—",_xlfn.MINIFS(Lançamentos!$C$2:$C$401,Lançamentos!$A$2:$A$401,A99,Lançamentos!$C$2:$C$401,"&gt;="&amp;TODAY())))</f>
        <v/>
      </c>
      <c r="I99" s="34" t="str">
        <f aca="false">IF(A99="","",COUNTIFS(Lançamentos!$A$2:$A$401,A99,Lançamentos!$G$2:$G$401,"&lt;&gt;Concluído"))</f>
        <v/>
      </c>
      <c r="J99" s="34" t="str">
        <f aca="true">IF(A99="","",COUNTIFS(Lançamentos!$A$2:$A$401,A99,Lançamentos!$G$2:$G$401,"&lt;&gt;Concluído",Lançamentos!$F$2:$F$401,"&lt;"&amp;TODAY()))</f>
        <v/>
      </c>
      <c r="K99" s="29" t="str">
        <f aca="false">IF(A99="","",IF(F99&lt;&gt;"Ativo","⚪ "&amp;F99,IF(J99&gt;0,"🔴 Cobrar equipe",IF(I99&gt;0,"🟡 Em execução","🟢 Em dia"))))</f>
        <v/>
      </c>
      <c r="L99" s="26"/>
    </row>
    <row r="100" customFormat="false" ht="15" hidden="false" customHeight="false" outlineLevel="0" collapsed="false">
      <c r="A100" s="26"/>
      <c r="B100" s="26"/>
      <c r="C100" s="26"/>
      <c r="D100" s="26"/>
      <c r="E100" s="27"/>
      <c r="F100" s="26"/>
      <c r="G100" s="34" t="str">
        <f aca="true">IF(OR(A100="",E100=""),"",DATEDIF(E100,TODAY(),"m")+1)</f>
        <v/>
      </c>
      <c r="H100" s="35" t="str">
        <f aca="true">IF(A100="","",IF(_xlfn.MINIFS(Lançamentos!$C$2:$C$401,Lançamentos!$A$2:$A$401,A100,Lançamentos!$C$2:$C$401,"&gt;="&amp;TODAY())=0,"—",_xlfn.MINIFS(Lançamentos!$C$2:$C$401,Lançamentos!$A$2:$A$401,A100,Lançamentos!$C$2:$C$401,"&gt;="&amp;TODAY())))</f>
        <v/>
      </c>
      <c r="I100" s="34" t="str">
        <f aca="false">IF(A100="","",COUNTIFS(Lançamentos!$A$2:$A$401,A100,Lançamentos!$G$2:$G$401,"&lt;&gt;Concluído"))</f>
        <v/>
      </c>
      <c r="J100" s="34" t="str">
        <f aca="true">IF(A100="","",COUNTIFS(Lançamentos!$A$2:$A$401,A100,Lançamentos!$G$2:$G$401,"&lt;&gt;Concluído",Lançamentos!$F$2:$F$401,"&lt;"&amp;TODAY()))</f>
        <v/>
      </c>
      <c r="K100" s="29" t="str">
        <f aca="false">IF(A100="","",IF(F100&lt;&gt;"Ativo","⚪ "&amp;F100,IF(J100&gt;0,"🔴 Cobrar equipe",IF(I100&gt;0,"🟡 Em execução","🟢 Em dia"))))</f>
        <v/>
      </c>
      <c r="L100" s="26"/>
    </row>
    <row r="101" customFormat="false" ht="15" hidden="false" customHeight="false" outlineLevel="0" collapsed="false">
      <c r="A101" s="26"/>
      <c r="B101" s="26"/>
      <c r="C101" s="26"/>
      <c r="D101" s="26"/>
      <c r="E101" s="27"/>
      <c r="F101" s="26"/>
      <c r="G101" s="34" t="str">
        <f aca="true">IF(OR(A101="",E101=""),"",DATEDIF(E101,TODAY(),"m")+1)</f>
        <v/>
      </c>
      <c r="H101" s="35" t="str">
        <f aca="true">IF(A101="","",IF(_xlfn.MINIFS(Lançamentos!$C$2:$C$401,Lançamentos!$A$2:$A$401,A101,Lançamentos!$C$2:$C$401,"&gt;="&amp;TODAY())=0,"—",_xlfn.MINIFS(Lançamentos!$C$2:$C$401,Lançamentos!$A$2:$A$401,A101,Lançamentos!$C$2:$C$401,"&gt;="&amp;TODAY())))</f>
        <v/>
      </c>
      <c r="I101" s="34" t="str">
        <f aca="false">IF(A101="","",COUNTIFS(Lançamentos!$A$2:$A$401,A101,Lançamentos!$G$2:$G$401,"&lt;&gt;Concluído"))</f>
        <v/>
      </c>
      <c r="J101" s="34" t="str">
        <f aca="true">IF(A101="","",COUNTIFS(Lançamentos!$A$2:$A$401,A101,Lançamentos!$G$2:$G$401,"&lt;&gt;Concluído",Lançamentos!$F$2:$F$401,"&lt;"&amp;TODAY()))</f>
        <v/>
      </c>
      <c r="K101" s="29" t="str">
        <f aca="false">IF(A101="","",IF(F101&lt;&gt;"Ativo","⚪ "&amp;F101,IF(J101&gt;0,"🔴 Cobrar equipe",IF(I101&gt;0,"🟡 Em execução","🟢 Em dia"))))</f>
        <v/>
      </c>
      <c r="L101" s="26"/>
    </row>
    <row r="102" customFormat="false" ht="15" hidden="false" customHeight="false" outlineLevel="0" collapsed="false">
      <c r="A102" s="26"/>
      <c r="B102" s="26"/>
      <c r="C102" s="26"/>
      <c r="D102" s="26"/>
      <c r="E102" s="27"/>
      <c r="F102" s="26"/>
      <c r="G102" s="34" t="str">
        <f aca="true">IF(OR(A102="",E102=""),"",DATEDIF(E102,TODAY(),"m")+1)</f>
        <v/>
      </c>
      <c r="H102" s="35" t="str">
        <f aca="true">IF(A102="","",IF(_xlfn.MINIFS(Lançamentos!$C$2:$C$401,Lançamentos!$A$2:$A$401,A102,Lançamentos!$C$2:$C$401,"&gt;="&amp;TODAY())=0,"—",_xlfn.MINIFS(Lançamentos!$C$2:$C$401,Lançamentos!$A$2:$A$401,A102,Lançamentos!$C$2:$C$401,"&gt;="&amp;TODAY())))</f>
        <v/>
      </c>
      <c r="I102" s="34" t="str">
        <f aca="false">IF(A102="","",COUNTIFS(Lançamentos!$A$2:$A$401,A102,Lançamentos!$G$2:$G$401,"&lt;&gt;Concluído"))</f>
        <v/>
      </c>
      <c r="J102" s="34" t="str">
        <f aca="true">IF(A102="","",COUNTIFS(Lançamentos!$A$2:$A$401,A102,Lançamentos!$G$2:$G$401,"&lt;&gt;Concluído",Lançamentos!$F$2:$F$401,"&lt;"&amp;TODAY()))</f>
        <v/>
      </c>
      <c r="K102" s="29" t="str">
        <f aca="false">IF(A102="","",IF(F102&lt;&gt;"Ativo","⚪ "&amp;F102,IF(J102&gt;0,"🔴 Cobrar equipe",IF(I102&gt;0,"🟡 Em execução","🟢 Em dia"))))</f>
        <v/>
      </c>
      <c r="L102" s="26"/>
    </row>
    <row r="103" customFormat="false" ht="15" hidden="false" customHeight="false" outlineLevel="0" collapsed="false">
      <c r="A103" s="26"/>
      <c r="B103" s="26"/>
      <c r="C103" s="26"/>
      <c r="D103" s="26"/>
      <c r="E103" s="27"/>
      <c r="F103" s="26"/>
      <c r="G103" s="34" t="str">
        <f aca="true">IF(OR(A103="",E103=""),"",DATEDIF(E103,TODAY(),"m")+1)</f>
        <v/>
      </c>
      <c r="H103" s="35" t="str">
        <f aca="true">IF(A103="","",IF(_xlfn.MINIFS(Lançamentos!$C$2:$C$401,Lançamentos!$A$2:$A$401,A103,Lançamentos!$C$2:$C$401,"&gt;="&amp;TODAY())=0,"—",_xlfn.MINIFS(Lançamentos!$C$2:$C$401,Lançamentos!$A$2:$A$401,A103,Lançamentos!$C$2:$C$401,"&gt;="&amp;TODAY())))</f>
        <v/>
      </c>
      <c r="I103" s="34" t="str">
        <f aca="false">IF(A103="","",COUNTIFS(Lançamentos!$A$2:$A$401,A103,Lançamentos!$G$2:$G$401,"&lt;&gt;Concluído"))</f>
        <v/>
      </c>
      <c r="J103" s="34" t="str">
        <f aca="true">IF(A103="","",COUNTIFS(Lançamentos!$A$2:$A$401,A103,Lançamentos!$G$2:$G$401,"&lt;&gt;Concluído",Lançamentos!$F$2:$F$401,"&lt;"&amp;TODAY()))</f>
        <v/>
      </c>
      <c r="K103" s="29" t="str">
        <f aca="false">IF(A103="","",IF(F103&lt;&gt;"Ativo","⚪ "&amp;F103,IF(J103&gt;0,"🔴 Cobrar equipe",IF(I103&gt;0,"🟡 Em execução","🟢 Em dia"))))</f>
        <v/>
      </c>
      <c r="L103" s="26"/>
    </row>
    <row r="104" customFormat="false" ht="15" hidden="false" customHeight="false" outlineLevel="0" collapsed="false">
      <c r="A104" s="26"/>
      <c r="B104" s="26"/>
      <c r="C104" s="26"/>
      <c r="D104" s="26"/>
      <c r="E104" s="27"/>
      <c r="F104" s="26"/>
      <c r="G104" s="34" t="str">
        <f aca="true">IF(OR(A104="",E104=""),"",DATEDIF(E104,TODAY(),"m")+1)</f>
        <v/>
      </c>
      <c r="H104" s="35" t="str">
        <f aca="true">IF(A104="","",IF(_xlfn.MINIFS(Lançamentos!$C$2:$C$401,Lançamentos!$A$2:$A$401,A104,Lançamentos!$C$2:$C$401,"&gt;="&amp;TODAY())=0,"—",_xlfn.MINIFS(Lançamentos!$C$2:$C$401,Lançamentos!$A$2:$A$401,A104,Lançamentos!$C$2:$C$401,"&gt;="&amp;TODAY())))</f>
        <v/>
      </c>
      <c r="I104" s="34" t="str">
        <f aca="false">IF(A104="","",COUNTIFS(Lançamentos!$A$2:$A$401,A104,Lançamentos!$G$2:$G$401,"&lt;&gt;Concluído"))</f>
        <v/>
      </c>
      <c r="J104" s="34" t="str">
        <f aca="true">IF(A104="","",COUNTIFS(Lançamentos!$A$2:$A$401,A104,Lançamentos!$G$2:$G$401,"&lt;&gt;Concluído",Lançamentos!$F$2:$F$401,"&lt;"&amp;TODAY()))</f>
        <v/>
      </c>
      <c r="K104" s="29" t="str">
        <f aca="false">IF(A104="","",IF(F104&lt;&gt;"Ativo","⚪ "&amp;F104,IF(J104&gt;0,"🔴 Cobrar equipe",IF(I104&gt;0,"🟡 Em execução","🟢 Em dia"))))</f>
        <v/>
      </c>
      <c r="L104" s="26"/>
    </row>
  </sheetData>
  <autoFilter ref="A4:L104"/>
  <conditionalFormatting sqref="K5:K104">
    <cfRule type="expression" priority="2" aboveAverage="0" equalAverage="0" bottom="0" percent="0" rank="0" text="" dxfId="2">
      <formula>ISNUMBER(SEARCH("Cobrar",K5))</formula>
    </cfRule>
    <cfRule type="expression" priority="3" aboveAverage="0" equalAverage="0" bottom="0" percent="0" rank="0" text="" dxfId="3">
      <formula>ISNUMBER(SEARCH("execução",K5))</formula>
    </cfRule>
    <cfRule type="expression" priority="4" aboveAverage="0" equalAverage="0" bottom="0" percent="0" rank="0" text="" dxfId="4">
      <formula>ISNUMBER(SEARCH("Em dia",K5))</formula>
    </cfRule>
    <cfRule type="expression" priority="5" aboveAverage="0" equalAverage="0" bottom="0" percent="0" rank="0" text="" dxfId="24">
      <formula>ISNUMBER(SEARCH("⚪",K5))</formula>
    </cfRule>
  </conditionalFormatting>
  <dataValidations count="2">
    <dataValidation allowBlank="true" error="Escolha Ativo, Pausado ou Encerrado." errorStyle="stop" errorTitle="Valor inválido" operator="between" showDropDown="false" showErrorMessage="true" showInputMessage="false" sqref="F5:F104" type="list">
      <formula1>Listas!$F$5:$F$7</formula1>
      <formula2>0</formula2>
    </dataValidation>
    <dataValidation allowBlank="true" error="Cadastre o gestor na aba Responsáveis primeiro." errorStyle="stop" errorTitle="Valor inválido" operator="between" showDropDown="false" showErrorMessage="true" showInputMessage="false" sqref="C5:C104" type="list">
      <formula1>Responsáveis!$A$5:$A$24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32" t="s">
        <v>75</v>
      </c>
    </row>
    <row r="2" customFormat="false" ht="15" hidden="false" customHeight="false" outlineLevel="0" collapsed="false">
      <c r="A2" s="33" t="s">
        <v>76</v>
      </c>
    </row>
    <row r="4" customFormat="false" ht="31.5" hidden="false" customHeight="true" outlineLevel="0" collapsed="false">
      <c r="A4" s="25" t="s">
        <v>8</v>
      </c>
      <c r="B4" s="25" t="s">
        <v>77</v>
      </c>
      <c r="C4" s="25" t="s">
        <v>78</v>
      </c>
      <c r="D4" s="25" t="s">
        <v>79</v>
      </c>
      <c r="E4" s="25" t="s">
        <v>2</v>
      </c>
      <c r="F4" s="25" t="s">
        <v>17</v>
      </c>
      <c r="G4" s="25" t="s">
        <v>80</v>
      </c>
      <c r="H4" s="25" t="s">
        <v>13</v>
      </c>
    </row>
    <row r="5" customFormat="false" ht="15" hidden="false" customHeight="false" outlineLevel="0" collapsed="false">
      <c r="A5" s="26" t="s">
        <v>37</v>
      </c>
      <c r="B5" s="26" t="s">
        <v>81</v>
      </c>
      <c r="C5" s="26" t="s">
        <v>82</v>
      </c>
      <c r="D5" s="26" t="s">
        <v>83</v>
      </c>
      <c r="E5" s="34" t="n">
        <f aca="false">IF(A5="","",COUNTIFS(Lançamentos!$E$2:$E$401,A5,Lançamentos!$G$2:$G$401,"&lt;&gt;Concluído"))</f>
        <v>2</v>
      </c>
      <c r="F5" s="34" t="n">
        <f aca="true">IF(A5="","",COUNTIFS(Lançamentos!$E$2:$E$401,A5,Lançamentos!$G$2:$G$401,"&lt;&gt;Concluído",Lançamentos!$F$2:$F$401,"&lt;"&amp;TODAY()))</f>
        <v>0</v>
      </c>
      <c r="G5" s="34" t="n">
        <f aca="true">IF(A5="","",COUNTIFS(Lançamentos!$E$2:$E$401,A5,Lançamentos!$G$2:$G$401,"&lt;&gt;Concluído",Lançamentos!$F$2:$F$401,"&gt;="&amp;TODAY(),Lançamentos!$F$2:$F$401,"&lt;="&amp;TODAY()+3))</f>
        <v>1</v>
      </c>
      <c r="H5" s="29" t="str">
        <f aca="false">IF(A5="","",IF(F5&gt;0,"🔴 COBRAR hoje",IF(G5&gt;0,"🟠 Lembrar esta semana","🟢 Em dia")))</f>
        <v>🟠 Lembrar esta semana</v>
      </c>
    </row>
    <row r="6" customFormat="false" ht="15" hidden="false" customHeight="false" outlineLevel="0" collapsed="false">
      <c r="A6" s="26" t="s">
        <v>39</v>
      </c>
      <c r="B6" s="26" t="s">
        <v>84</v>
      </c>
      <c r="C6" s="26" t="s">
        <v>85</v>
      </c>
      <c r="D6" s="26" t="s">
        <v>86</v>
      </c>
      <c r="E6" s="34" t="n">
        <f aca="false">IF(A6="","",COUNTIFS(Lançamentos!$E$2:$E$401,A6,Lançamentos!$G$2:$G$401,"&lt;&gt;Concluído"))</f>
        <v>3</v>
      </c>
      <c r="F6" s="34" t="n">
        <f aca="true">IF(A6="","",COUNTIFS(Lançamentos!$E$2:$E$401,A6,Lançamentos!$G$2:$G$401,"&lt;&gt;Concluído",Lançamentos!$F$2:$F$401,"&lt;"&amp;TODAY()))</f>
        <v>1</v>
      </c>
      <c r="G6" s="34" t="n">
        <f aca="true">IF(A6="","",COUNTIFS(Lançamentos!$E$2:$E$401,A6,Lançamentos!$G$2:$G$401,"&lt;&gt;Concluído",Lançamentos!$F$2:$F$401,"&gt;="&amp;TODAY(),Lançamentos!$F$2:$F$401,"&lt;="&amp;TODAY()+3))</f>
        <v>0</v>
      </c>
      <c r="H6" s="29" t="str">
        <f aca="false">IF(A6="","",IF(F6&gt;0,"🔴 COBRAR hoje",IF(G6&gt;0,"🟠 Lembrar esta semana","🟢 Em dia")))</f>
        <v>🔴 COBRAR hoje</v>
      </c>
    </row>
    <row r="7" customFormat="false" ht="15" hidden="false" customHeight="false" outlineLevel="0" collapsed="false">
      <c r="A7" s="26" t="s">
        <v>44</v>
      </c>
      <c r="B7" s="26" t="s">
        <v>87</v>
      </c>
      <c r="C7" s="26" t="s">
        <v>88</v>
      </c>
      <c r="D7" s="26" t="s">
        <v>89</v>
      </c>
      <c r="E7" s="34" t="n">
        <f aca="false">IF(A7="","",COUNTIFS(Lançamentos!$E$2:$E$401,A7,Lançamentos!$G$2:$G$401,"&lt;&gt;Concluído"))</f>
        <v>2</v>
      </c>
      <c r="F7" s="34" t="n">
        <f aca="true">IF(A7="","",COUNTIFS(Lançamentos!$E$2:$E$401,A7,Lançamentos!$G$2:$G$401,"&lt;&gt;Concluído",Lançamentos!$F$2:$F$401,"&lt;"&amp;TODAY()))</f>
        <v>1</v>
      </c>
      <c r="G7" s="34" t="n">
        <f aca="true">IF(A7="","",COUNTIFS(Lançamentos!$E$2:$E$401,A7,Lançamentos!$G$2:$G$401,"&lt;&gt;Concluído",Lançamentos!$F$2:$F$401,"&gt;="&amp;TODAY(),Lançamentos!$F$2:$F$401,"&lt;="&amp;TODAY()+3))</f>
        <v>1</v>
      </c>
      <c r="H7" s="29" t="str">
        <f aca="false">IF(A7="","",IF(F7&gt;0,"🔴 COBRAR hoje",IF(G7&gt;0,"🟠 Lembrar esta semana","🟢 Em dia")))</f>
        <v>🔴 COBRAR hoje</v>
      </c>
    </row>
    <row r="8" customFormat="false" ht="15" hidden="false" customHeight="false" outlineLevel="0" collapsed="false">
      <c r="A8" s="26" t="s">
        <v>51</v>
      </c>
      <c r="B8" s="26" t="s">
        <v>90</v>
      </c>
      <c r="C8" s="26" t="s">
        <v>91</v>
      </c>
      <c r="D8" s="26" t="s">
        <v>92</v>
      </c>
      <c r="E8" s="34" t="n">
        <f aca="false">IF(A8="","",COUNTIFS(Lançamentos!$E$2:$E$401,A8,Lançamentos!$G$2:$G$401,"&lt;&gt;Concluído"))</f>
        <v>2</v>
      </c>
      <c r="F8" s="34" t="n">
        <f aca="true">IF(A8="","",COUNTIFS(Lançamentos!$E$2:$E$401,A8,Lançamentos!$G$2:$G$401,"&lt;&gt;Concluído",Lançamentos!$F$2:$F$401,"&lt;"&amp;TODAY()))</f>
        <v>0</v>
      </c>
      <c r="G8" s="34" t="n">
        <f aca="true">IF(A8="","",COUNTIFS(Lançamentos!$E$2:$E$401,A8,Lançamentos!$G$2:$G$401,"&lt;&gt;Concluído",Lançamentos!$F$2:$F$401,"&gt;="&amp;TODAY(),Lançamentos!$F$2:$F$401,"&lt;="&amp;TODAY()+3))</f>
        <v>1</v>
      </c>
      <c r="H8" s="29" t="str">
        <f aca="false">IF(A8="","",IF(F8&gt;0,"🔴 COBRAR hoje",IF(G8&gt;0,"🟠 Lembrar esta semana","🟢 Em dia")))</f>
        <v>🟠 Lembrar esta semana</v>
      </c>
    </row>
    <row r="9" customFormat="false" ht="15" hidden="false" customHeight="false" outlineLevel="0" collapsed="false">
      <c r="A9" s="26" t="s">
        <v>34</v>
      </c>
      <c r="B9" s="26" t="s">
        <v>93</v>
      </c>
      <c r="C9" s="26" t="s">
        <v>94</v>
      </c>
      <c r="D9" s="26" t="s">
        <v>95</v>
      </c>
      <c r="E9" s="34" t="n">
        <f aca="false">IF(A9="","",COUNTIFS(Lançamentos!$E$2:$E$401,A9,Lançamentos!$G$2:$G$401,"&lt;&gt;Concluído"))</f>
        <v>1</v>
      </c>
      <c r="F9" s="34" t="n">
        <f aca="true">IF(A9="","",COUNTIFS(Lançamentos!$E$2:$E$401,A9,Lançamentos!$G$2:$G$401,"&lt;&gt;Concluído",Lançamentos!$F$2:$F$401,"&lt;"&amp;TODAY()))</f>
        <v>0</v>
      </c>
      <c r="G9" s="34" t="n">
        <f aca="true">IF(A9="","",COUNTIFS(Lançamentos!$E$2:$E$401,A9,Lançamentos!$G$2:$G$401,"&lt;&gt;Concluído",Lançamentos!$F$2:$F$401,"&gt;="&amp;TODAY(),Lançamentos!$F$2:$F$401,"&lt;="&amp;TODAY()+3))</f>
        <v>1</v>
      </c>
      <c r="H9" s="29" t="str">
        <f aca="false">IF(A9="","",IF(F9&gt;0,"🔴 COBRAR hoje",IF(G9&gt;0,"🟠 Lembrar esta semana","🟢 Em dia")))</f>
        <v>🟠 Lembrar esta semana</v>
      </c>
    </row>
    <row r="10" customFormat="false" ht="15" hidden="false" customHeight="false" outlineLevel="0" collapsed="false">
      <c r="A10" s="26"/>
      <c r="B10" s="26"/>
      <c r="C10" s="26"/>
      <c r="D10" s="26"/>
      <c r="E10" s="34" t="str">
        <f aca="false">IF(A10="","",COUNTIFS(Lançamentos!$E$2:$E$401,A10,Lançamentos!$G$2:$G$401,"&lt;&gt;Concluído"))</f>
        <v/>
      </c>
      <c r="F10" s="34" t="str">
        <f aca="true">IF(A10="","",COUNTIFS(Lançamentos!$E$2:$E$401,A10,Lançamentos!$G$2:$G$401,"&lt;&gt;Concluído",Lançamentos!$F$2:$F$401,"&lt;"&amp;TODAY()))</f>
        <v/>
      </c>
      <c r="G10" s="34" t="str">
        <f aca="true">IF(A10="","",COUNTIFS(Lançamentos!$E$2:$E$401,A10,Lançamentos!$G$2:$G$401,"&lt;&gt;Concluído",Lançamentos!$F$2:$F$401,"&gt;="&amp;TODAY(),Lançamentos!$F$2:$F$401,"&lt;="&amp;TODAY()+3))</f>
        <v/>
      </c>
      <c r="H10" s="29" t="str">
        <f aca="false">IF(A10="","",IF(F10&gt;0,"🔴 COBRAR hoje",IF(G10&gt;0,"🟠 Lembrar esta semana","🟢 Em dia")))</f>
        <v/>
      </c>
    </row>
    <row r="11" customFormat="false" ht="15" hidden="false" customHeight="false" outlineLevel="0" collapsed="false">
      <c r="A11" s="26"/>
      <c r="B11" s="26"/>
      <c r="C11" s="26"/>
      <c r="D11" s="26"/>
      <c r="E11" s="34" t="str">
        <f aca="false">IF(A11="","",COUNTIFS(Lançamentos!$E$2:$E$401,A11,Lançamentos!$G$2:$G$401,"&lt;&gt;Concluído"))</f>
        <v/>
      </c>
      <c r="F11" s="34" t="str">
        <f aca="true">IF(A11="","",COUNTIFS(Lançamentos!$E$2:$E$401,A11,Lançamentos!$G$2:$G$401,"&lt;&gt;Concluído",Lançamentos!$F$2:$F$401,"&lt;"&amp;TODAY()))</f>
        <v/>
      </c>
      <c r="G11" s="34" t="str">
        <f aca="true">IF(A11="","",COUNTIFS(Lançamentos!$E$2:$E$401,A11,Lançamentos!$G$2:$G$401,"&lt;&gt;Concluído",Lançamentos!$F$2:$F$401,"&gt;="&amp;TODAY(),Lançamentos!$F$2:$F$401,"&lt;="&amp;TODAY()+3))</f>
        <v/>
      </c>
      <c r="H11" s="29" t="str">
        <f aca="false">IF(A11="","",IF(F11&gt;0,"🔴 COBRAR hoje",IF(G11&gt;0,"🟠 Lembrar esta semana","🟢 Em dia")))</f>
        <v/>
      </c>
    </row>
    <row r="12" customFormat="false" ht="15" hidden="false" customHeight="false" outlineLevel="0" collapsed="false">
      <c r="A12" s="26"/>
      <c r="B12" s="26"/>
      <c r="C12" s="26"/>
      <c r="D12" s="26"/>
      <c r="E12" s="34" t="str">
        <f aca="false">IF(A12="","",COUNTIFS(Lançamentos!$E$2:$E$401,A12,Lançamentos!$G$2:$G$401,"&lt;&gt;Concluído"))</f>
        <v/>
      </c>
      <c r="F12" s="34" t="str">
        <f aca="true">IF(A12="","",COUNTIFS(Lançamentos!$E$2:$E$401,A12,Lançamentos!$G$2:$G$401,"&lt;&gt;Concluído",Lançamentos!$F$2:$F$401,"&lt;"&amp;TODAY()))</f>
        <v/>
      </c>
      <c r="G12" s="34" t="str">
        <f aca="true">IF(A12="","",COUNTIFS(Lançamentos!$E$2:$E$401,A12,Lançamentos!$G$2:$G$401,"&lt;&gt;Concluído",Lançamentos!$F$2:$F$401,"&gt;="&amp;TODAY(),Lançamentos!$F$2:$F$401,"&lt;="&amp;TODAY()+3))</f>
        <v/>
      </c>
      <c r="H12" s="29" t="str">
        <f aca="false">IF(A12="","",IF(F12&gt;0,"🔴 COBRAR hoje",IF(G12&gt;0,"🟠 Lembrar esta semana","🟢 Em dia")))</f>
        <v/>
      </c>
    </row>
    <row r="13" customFormat="false" ht="15" hidden="false" customHeight="false" outlineLevel="0" collapsed="false">
      <c r="A13" s="26"/>
      <c r="B13" s="26"/>
      <c r="C13" s="26"/>
      <c r="D13" s="26"/>
      <c r="E13" s="34" t="str">
        <f aca="false">IF(A13="","",COUNTIFS(Lançamentos!$E$2:$E$401,A13,Lançamentos!$G$2:$G$401,"&lt;&gt;Concluído"))</f>
        <v/>
      </c>
      <c r="F13" s="34" t="str">
        <f aca="true">IF(A13="","",COUNTIFS(Lançamentos!$E$2:$E$401,A13,Lançamentos!$G$2:$G$401,"&lt;&gt;Concluído",Lançamentos!$F$2:$F$401,"&lt;"&amp;TODAY()))</f>
        <v/>
      </c>
      <c r="G13" s="34" t="str">
        <f aca="true">IF(A13="","",COUNTIFS(Lançamentos!$E$2:$E$401,A13,Lançamentos!$G$2:$G$401,"&lt;&gt;Concluído",Lançamentos!$F$2:$F$401,"&gt;="&amp;TODAY(),Lançamentos!$F$2:$F$401,"&lt;="&amp;TODAY()+3))</f>
        <v/>
      </c>
      <c r="H13" s="29" t="str">
        <f aca="false">IF(A13="","",IF(F13&gt;0,"🔴 COBRAR hoje",IF(G13&gt;0,"🟠 Lembrar esta semana","🟢 Em dia")))</f>
        <v/>
      </c>
    </row>
    <row r="14" customFormat="false" ht="15" hidden="false" customHeight="false" outlineLevel="0" collapsed="false">
      <c r="A14" s="26"/>
      <c r="B14" s="26"/>
      <c r="C14" s="26"/>
      <c r="D14" s="26"/>
      <c r="E14" s="34" t="str">
        <f aca="false">IF(A14="","",COUNTIFS(Lançamentos!$E$2:$E$401,A14,Lançamentos!$G$2:$G$401,"&lt;&gt;Concluído"))</f>
        <v/>
      </c>
      <c r="F14" s="34" t="str">
        <f aca="true">IF(A14="","",COUNTIFS(Lançamentos!$E$2:$E$401,A14,Lançamentos!$G$2:$G$401,"&lt;&gt;Concluído",Lançamentos!$F$2:$F$401,"&lt;"&amp;TODAY()))</f>
        <v/>
      </c>
      <c r="G14" s="34" t="str">
        <f aca="true">IF(A14="","",COUNTIFS(Lançamentos!$E$2:$E$401,A14,Lançamentos!$G$2:$G$401,"&lt;&gt;Concluído",Lançamentos!$F$2:$F$401,"&gt;="&amp;TODAY(),Lançamentos!$F$2:$F$401,"&lt;="&amp;TODAY()+3))</f>
        <v/>
      </c>
      <c r="H14" s="29" t="str">
        <f aca="false">IF(A14="","",IF(F14&gt;0,"🔴 COBRAR hoje",IF(G14&gt;0,"🟠 Lembrar esta semana","🟢 Em dia")))</f>
        <v/>
      </c>
    </row>
    <row r="15" customFormat="false" ht="15" hidden="false" customHeight="false" outlineLevel="0" collapsed="false">
      <c r="A15" s="26"/>
      <c r="B15" s="26"/>
      <c r="C15" s="26"/>
      <c r="D15" s="26"/>
      <c r="E15" s="34" t="str">
        <f aca="false">IF(A15="","",COUNTIFS(Lançamentos!$E$2:$E$401,A15,Lançamentos!$G$2:$G$401,"&lt;&gt;Concluído"))</f>
        <v/>
      </c>
      <c r="F15" s="34" t="str">
        <f aca="true">IF(A15="","",COUNTIFS(Lançamentos!$E$2:$E$401,A15,Lançamentos!$G$2:$G$401,"&lt;&gt;Concluído",Lançamentos!$F$2:$F$401,"&lt;"&amp;TODAY()))</f>
        <v/>
      </c>
      <c r="G15" s="34" t="str">
        <f aca="true">IF(A15="","",COUNTIFS(Lançamentos!$E$2:$E$401,A15,Lançamentos!$G$2:$G$401,"&lt;&gt;Concluído",Lançamentos!$F$2:$F$401,"&gt;="&amp;TODAY(),Lançamentos!$F$2:$F$401,"&lt;="&amp;TODAY()+3))</f>
        <v/>
      </c>
      <c r="H15" s="29" t="str">
        <f aca="false">IF(A15="","",IF(F15&gt;0,"🔴 COBRAR hoje",IF(G15&gt;0,"🟠 Lembrar esta semana","🟢 Em dia")))</f>
        <v/>
      </c>
    </row>
    <row r="16" customFormat="false" ht="15" hidden="false" customHeight="false" outlineLevel="0" collapsed="false">
      <c r="A16" s="26"/>
      <c r="B16" s="26"/>
      <c r="C16" s="26"/>
      <c r="D16" s="26"/>
      <c r="E16" s="34" t="str">
        <f aca="false">IF(A16="","",COUNTIFS(Lançamentos!$E$2:$E$401,A16,Lançamentos!$G$2:$G$401,"&lt;&gt;Concluído"))</f>
        <v/>
      </c>
      <c r="F16" s="34" t="str">
        <f aca="true">IF(A16="","",COUNTIFS(Lançamentos!$E$2:$E$401,A16,Lançamentos!$G$2:$G$401,"&lt;&gt;Concluído",Lançamentos!$F$2:$F$401,"&lt;"&amp;TODAY()))</f>
        <v/>
      </c>
      <c r="G16" s="34" t="str">
        <f aca="true">IF(A16="","",COUNTIFS(Lançamentos!$E$2:$E$401,A16,Lançamentos!$G$2:$G$401,"&lt;&gt;Concluído",Lançamentos!$F$2:$F$401,"&gt;="&amp;TODAY(),Lançamentos!$F$2:$F$401,"&lt;="&amp;TODAY()+3))</f>
        <v/>
      </c>
      <c r="H16" s="29" t="str">
        <f aca="false">IF(A16="","",IF(F16&gt;0,"🔴 COBRAR hoje",IF(G16&gt;0,"🟠 Lembrar esta semana","🟢 Em dia")))</f>
        <v/>
      </c>
    </row>
    <row r="17" customFormat="false" ht="15" hidden="false" customHeight="false" outlineLevel="0" collapsed="false">
      <c r="A17" s="26"/>
      <c r="B17" s="26"/>
      <c r="C17" s="26"/>
      <c r="D17" s="26"/>
      <c r="E17" s="34" t="str">
        <f aca="false">IF(A17="","",COUNTIFS(Lançamentos!$E$2:$E$401,A17,Lançamentos!$G$2:$G$401,"&lt;&gt;Concluído"))</f>
        <v/>
      </c>
      <c r="F17" s="34" t="str">
        <f aca="true">IF(A17="","",COUNTIFS(Lançamentos!$E$2:$E$401,A17,Lançamentos!$G$2:$G$401,"&lt;&gt;Concluído",Lançamentos!$F$2:$F$401,"&lt;"&amp;TODAY()))</f>
        <v/>
      </c>
      <c r="G17" s="34" t="str">
        <f aca="true">IF(A17="","",COUNTIFS(Lançamentos!$E$2:$E$401,A17,Lançamentos!$G$2:$G$401,"&lt;&gt;Concluído",Lançamentos!$F$2:$F$401,"&gt;="&amp;TODAY(),Lançamentos!$F$2:$F$401,"&lt;="&amp;TODAY()+3))</f>
        <v/>
      </c>
      <c r="H17" s="29" t="str">
        <f aca="false">IF(A17="","",IF(F17&gt;0,"🔴 COBRAR hoje",IF(G17&gt;0,"🟠 Lembrar esta semana","🟢 Em dia")))</f>
        <v/>
      </c>
    </row>
    <row r="18" customFormat="false" ht="15" hidden="false" customHeight="false" outlineLevel="0" collapsed="false">
      <c r="A18" s="26"/>
      <c r="B18" s="26"/>
      <c r="C18" s="26"/>
      <c r="D18" s="26"/>
      <c r="E18" s="34" t="str">
        <f aca="false">IF(A18="","",COUNTIFS(Lançamentos!$E$2:$E$401,A18,Lançamentos!$G$2:$G$401,"&lt;&gt;Concluído"))</f>
        <v/>
      </c>
      <c r="F18" s="34" t="str">
        <f aca="true">IF(A18="","",COUNTIFS(Lançamentos!$E$2:$E$401,A18,Lançamentos!$G$2:$G$401,"&lt;&gt;Concluído",Lançamentos!$F$2:$F$401,"&lt;"&amp;TODAY()))</f>
        <v/>
      </c>
      <c r="G18" s="34" t="str">
        <f aca="true">IF(A18="","",COUNTIFS(Lançamentos!$E$2:$E$401,A18,Lançamentos!$G$2:$G$401,"&lt;&gt;Concluído",Lançamentos!$F$2:$F$401,"&gt;="&amp;TODAY(),Lançamentos!$F$2:$F$401,"&lt;="&amp;TODAY()+3))</f>
        <v/>
      </c>
      <c r="H18" s="29" t="str">
        <f aca="false">IF(A18="","",IF(F18&gt;0,"🔴 COBRAR hoje",IF(G18&gt;0,"🟠 Lembrar esta semana","🟢 Em dia")))</f>
        <v/>
      </c>
    </row>
    <row r="19" customFormat="false" ht="15" hidden="false" customHeight="false" outlineLevel="0" collapsed="false">
      <c r="A19" s="26"/>
      <c r="B19" s="26"/>
      <c r="C19" s="26"/>
      <c r="D19" s="26"/>
      <c r="E19" s="34" t="str">
        <f aca="false">IF(A19="","",COUNTIFS(Lançamentos!$E$2:$E$401,A19,Lançamentos!$G$2:$G$401,"&lt;&gt;Concluído"))</f>
        <v/>
      </c>
      <c r="F19" s="34" t="str">
        <f aca="true">IF(A19="","",COUNTIFS(Lançamentos!$E$2:$E$401,A19,Lançamentos!$G$2:$G$401,"&lt;&gt;Concluído",Lançamentos!$F$2:$F$401,"&lt;"&amp;TODAY()))</f>
        <v/>
      </c>
      <c r="G19" s="34" t="str">
        <f aca="true">IF(A19="","",COUNTIFS(Lançamentos!$E$2:$E$401,A19,Lançamentos!$G$2:$G$401,"&lt;&gt;Concluído",Lançamentos!$F$2:$F$401,"&gt;="&amp;TODAY(),Lançamentos!$F$2:$F$401,"&lt;="&amp;TODAY()+3))</f>
        <v/>
      </c>
      <c r="H19" s="29" t="str">
        <f aca="false">IF(A19="","",IF(F19&gt;0,"🔴 COBRAR hoje",IF(G19&gt;0,"🟠 Lembrar esta semana","🟢 Em dia")))</f>
        <v/>
      </c>
    </row>
    <row r="20" customFormat="false" ht="15" hidden="false" customHeight="false" outlineLevel="0" collapsed="false">
      <c r="A20" s="26"/>
      <c r="B20" s="26"/>
      <c r="C20" s="26"/>
      <c r="D20" s="26"/>
      <c r="E20" s="34" t="str">
        <f aca="false">IF(A20="","",COUNTIFS(Lançamentos!$E$2:$E$401,A20,Lançamentos!$G$2:$G$401,"&lt;&gt;Concluído"))</f>
        <v/>
      </c>
      <c r="F20" s="34" t="str">
        <f aca="true">IF(A20="","",COUNTIFS(Lançamentos!$E$2:$E$401,A20,Lançamentos!$G$2:$G$401,"&lt;&gt;Concluído",Lançamentos!$F$2:$F$401,"&lt;"&amp;TODAY()))</f>
        <v/>
      </c>
      <c r="G20" s="34" t="str">
        <f aca="true">IF(A20="","",COUNTIFS(Lançamentos!$E$2:$E$401,A20,Lançamentos!$G$2:$G$401,"&lt;&gt;Concluído",Lançamentos!$F$2:$F$401,"&gt;="&amp;TODAY(),Lançamentos!$F$2:$F$401,"&lt;="&amp;TODAY()+3))</f>
        <v/>
      </c>
      <c r="H20" s="29" t="str">
        <f aca="false">IF(A20="","",IF(F20&gt;0,"🔴 COBRAR hoje",IF(G20&gt;0,"🟠 Lembrar esta semana","🟢 Em dia")))</f>
        <v/>
      </c>
    </row>
    <row r="21" customFormat="false" ht="15" hidden="false" customHeight="false" outlineLevel="0" collapsed="false">
      <c r="A21" s="26"/>
      <c r="B21" s="26"/>
      <c r="C21" s="26"/>
      <c r="D21" s="26"/>
      <c r="E21" s="34" t="str">
        <f aca="false">IF(A21="","",COUNTIFS(Lançamentos!$E$2:$E$401,A21,Lançamentos!$G$2:$G$401,"&lt;&gt;Concluído"))</f>
        <v/>
      </c>
      <c r="F21" s="34" t="str">
        <f aca="true">IF(A21="","",COUNTIFS(Lançamentos!$E$2:$E$401,A21,Lançamentos!$G$2:$G$401,"&lt;&gt;Concluído",Lançamentos!$F$2:$F$401,"&lt;"&amp;TODAY()))</f>
        <v/>
      </c>
      <c r="G21" s="34" t="str">
        <f aca="true">IF(A21="","",COUNTIFS(Lançamentos!$E$2:$E$401,A21,Lançamentos!$G$2:$G$401,"&lt;&gt;Concluído",Lançamentos!$F$2:$F$401,"&gt;="&amp;TODAY(),Lançamentos!$F$2:$F$401,"&lt;="&amp;TODAY()+3))</f>
        <v/>
      </c>
      <c r="H21" s="29" t="str">
        <f aca="false">IF(A21="","",IF(F21&gt;0,"🔴 COBRAR hoje",IF(G21&gt;0,"🟠 Lembrar esta semana","🟢 Em dia")))</f>
        <v/>
      </c>
    </row>
    <row r="22" customFormat="false" ht="15" hidden="false" customHeight="false" outlineLevel="0" collapsed="false">
      <c r="A22" s="26"/>
      <c r="B22" s="26"/>
      <c r="C22" s="26"/>
      <c r="D22" s="26"/>
      <c r="E22" s="34" t="str">
        <f aca="false">IF(A22="","",COUNTIFS(Lançamentos!$E$2:$E$401,A22,Lançamentos!$G$2:$G$401,"&lt;&gt;Concluído"))</f>
        <v/>
      </c>
      <c r="F22" s="34" t="str">
        <f aca="true">IF(A22="","",COUNTIFS(Lançamentos!$E$2:$E$401,A22,Lançamentos!$G$2:$G$401,"&lt;&gt;Concluído",Lançamentos!$F$2:$F$401,"&lt;"&amp;TODAY()))</f>
        <v/>
      </c>
      <c r="G22" s="34" t="str">
        <f aca="true">IF(A22="","",COUNTIFS(Lançamentos!$E$2:$E$401,A22,Lançamentos!$G$2:$G$401,"&lt;&gt;Concluído",Lançamentos!$F$2:$F$401,"&gt;="&amp;TODAY(),Lançamentos!$F$2:$F$401,"&lt;="&amp;TODAY()+3))</f>
        <v/>
      </c>
      <c r="H22" s="29" t="str">
        <f aca="false">IF(A22="","",IF(F22&gt;0,"🔴 COBRAR hoje",IF(G22&gt;0,"🟠 Lembrar esta semana","🟢 Em dia")))</f>
        <v/>
      </c>
    </row>
    <row r="23" customFormat="false" ht="15" hidden="false" customHeight="false" outlineLevel="0" collapsed="false">
      <c r="A23" s="26"/>
      <c r="B23" s="26"/>
      <c r="C23" s="26"/>
      <c r="D23" s="26"/>
      <c r="E23" s="34" t="str">
        <f aca="false">IF(A23="","",COUNTIFS(Lançamentos!$E$2:$E$401,A23,Lançamentos!$G$2:$G$401,"&lt;&gt;Concluído"))</f>
        <v/>
      </c>
      <c r="F23" s="34" t="str">
        <f aca="true">IF(A23="","",COUNTIFS(Lançamentos!$E$2:$E$401,A23,Lançamentos!$G$2:$G$401,"&lt;&gt;Concluído",Lançamentos!$F$2:$F$401,"&lt;"&amp;TODAY()))</f>
        <v/>
      </c>
      <c r="G23" s="34" t="str">
        <f aca="true">IF(A23="","",COUNTIFS(Lançamentos!$E$2:$E$401,A23,Lançamentos!$G$2:$G$401,"&lt;&gt;Concluído",Lançamentos!$F$2:$F$401,"&gt;="&amp;TODAY(),Lançamentos!$F$2:$F$401,"&lt;="&amp;TODAY()+3))</f>
        <v/>
      </c>
      <c r="H23" s="29" t="str">
        <f aca="false">IF(A23="","",IF(F23&gt;0,"🔴 COBRAR hoje",IF(G23&gt;0,"🟠 Lembrar esta semana","🟢 Em dia")))</f>
        <v/>
      </c>
    </row>
    <row r="24" customFormat="false" ht="15" hidden="false" customHeight="false" outlineLevel="0" collapsed="false">
      <c r="A24" s="26"/>
      <c r="B24" s="26"/>
      <c r="C24" s="26"/>
      <c r="D24" s="26"/>
      <c r="E24" s="34" t="str">
        <f aca="false">IF(A24="","",COUNTIFS(Lançamentos!$E$2:$E$401,A24,Lançamentos!$G$2:$G$401,"&lt;&gt;Concluído"))</f>
        <v/>
      </c>
      <c r="F24" s="34" t="str">
        <f aca="true">IF(A24="","",COUNTIFS(Lançamentos!$E$2:$E$401,A24,Lançamentos!$G$2:$G$401,"&lt;&gt;Concluído",Lançamentos!$F$2:$F$401,"&lt;"&amp;TODAY()))</f>
        <v/>
      </c>
      <c r="G24" s="34" t="str">
        <f aca="true">IF(A24="","",COUNTIFS(Lançamentos!$E$2:$E$401,A24,Lançamentos!$G$2:$G$401,"&lt;&gt;Concluído",Lançamentos!$F$2:$F$401,"&gt;="&amp;TODAY(),Lançamentos!$F$2:$F$401,"&lt;="&amp;TODAY()+3))</f>
        <v/>
      </c>
      <c r="H24" s="29" t="str">
        <f aca="false">IF(A24="","",IF(F24&gt;0,"🔴 COBRAR hoje",IF(G24&gt;0,"🟠 Lembrar esta semana","🟢 Em dia")))</f>
        <v/>
      </c>
    </row>
  </sheetData>
  <conditionalFormatting sqref="H5:H24">
    <cfRule type="expression" priority="2" aboveAverage="0" equalAverage="0" bottom="0" percent="0" rank="0" text="" dxfId="2">
      <formula>ISNUMBER(SEARCH("COBRAR",H5))</formula>
    </cfRule>
    <cfRule type="expression" priority="3" aboveAverage="0" equalAverage="0" bottom="0" percent="0" rank="0" text="" dxfId="3">
      <formula>ISNUMBER(SEARCH("Lembrar",H5))</formula>
    </cfRule>
    <cfRule type="expression" priority="4" aboveAverage="0" equalAverage="0" bottom="0" percent="0" rank="0" text="" dxfId="19">
      <formula>ISNUMBER(SEARCH("Em dia",H5))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32" t="s">
        <v>96</v>
      </c>
    </row>
    <row r="2" customFormat="false" ht="15" hidden="false" customHeight="false" outlineLevel="0" collapsed="false">
      <c r="A2" s="33" t="s">
        <v>97</v>
      </c>
    </row>
    <row r="4" customFormat="false" ht="31.5" hidden="false" customHeight="true" outlineLevel="0" collapsed="false">
      <c r="A4" s="25" t="s">
        <v>98</v>
      </c>
      <c r="B4" s="25" t="s">
        <v>99</v>
      </c>
      <c r="C4" s="25"/>
      <c r="D4" s="25" t="s">
        <v>100</v>
      </c>
      <c r="E4" s="25"/>
      <c r="F4" s="25" t="s">
        <v>101</v>
      </c>
    </row>
    <row r="5" customFormat="false" ht="15" hidden="false" customHeight="false" outlineLevel="0" collapsed="false">
      <c r="A5" s="26" t="s">
        <v>33</v>
      </c>
      <c r="B5" s="26" t="n">
        <v>30</v>
      </c>
      <c r="D5" s="18" t="s">
        <v>45</v>
      </c>
      <c r="F5" s="18" t="s">
        <v>69</v>
      </c>
    </row>
    <row r="6" customFormat="false" ht="15" hidden="false" customHeight="false" outlineLevel="0" collapsed="false">
      <c r="A6" s="26" t="s">
        <v>36</v>
      </c>
      <c r="B6" s="26" t="n">
        <v>21</v>
      </c>
      <c r="D6" s="18" t="s">
        <v>41</v>
      </c>
      <c r="F6" s="18" t="s">
        <v>102</v>
      </c>
    </row>
    <row r="7" customFormat="false" ht="15" hidden="false" customHeight="false" outlineLevel="0" collapsed="false">
      <c r="A7" s="26" t="s">
        <v>38</v>
      </c>
      <c r="B7" s="26" t="n">
        <v>14</v>
      </c>
      <c r="D7" s="18" t="s">
        <v>48</v>
      </c>
      <c r="F7" s="18" t="s">
        <v>103</v>
      </c>
    </row>
    <row r="8" customFormat="false" ht="15" hidden="false" customHeight="false" outlineLevel="0" collapsed="false">
      <c r="A8" s="26" t="s">
        <v>40</v>
      </c>
      <c r="B8" s="26" t="n">
        <v>10</v>
      </c>
      <c r="D8" s="18" t="s">
        <v>35</v>
      </c>
    </row>
    <row r="9" customFormat="false" ht="15" hidden="false" customHeight="false" outlineLevel="0" collapsed="false">
      <c r="A9" s="26" t="s">
        <v>43</v>
      </c>
      <c r="B9" s="26" t="n">
        <v>10</v>
      </c>
    </row>
    <row r="10" customFormat="false" ht="15" hidden="false" customHeight="false" outlineLevel="0" collapsed="false">
      <c r="A10" s="26" t="s">
        <v>46</v>
      </c>
      <c r="B10" s="26" t="n">
        <v>7</v>
      </c>
    </row>
    <row r="11" customFormat="false" ht="15" hidden="false" customHeight="false" outlineLevel="0" collapsed="false">
      <c r="A11" s="26" t="s">
        <v>47</v>
      </c>
      <c r="B11" s="26" t="n">
        <v>7</v>
      </c>
    </row>
    <row r="12" customFormat="false" ht="15" hidden="false" customHeight="false" outlineLevel="0" collapsed="false">
      <c r="A12" s="26" t="s">
        <v>55</v>
      </c>
      <c r="B12" s="26" t="n">
        <v>3</v>
      </c>
    </row>
    <row r="13" customFormat="false" ht="15" hidden="false" customHeight="false" outlineLevel="0" collapsed="false">
      <c r="A13" s="26" t="s">
        <v>50</v>
      </c>
      <c r="B13" s="26" t="n">
        <v>0</v>
      </c>
    </row>
    <row r="14" customFormat="false" ht="15" hidden="false" customHeight="false" outlineLevel="0" collapsed="false">
      <c r="A14" s="26" t="s">
        <v>58</v>
      </c>
      <c r="B14" s="26" t="n">
        <v>-14</v>
      </c>
    </row>
    <row r="17" customFormat="false" ht="15" hidden="false" customHeight="false" outlineLevel="0" collapsed="false">
      <c r="A17" s="3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32"/>
      <c r="B1" s="32" t="s">
        <v>105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B3" s="36" t="s">
        <v>106</v>
      </c>
    </row>
    <row r="4" customFormat="false" ht="15" hidden="false" customHeight="false" outlineLevel="0" collapsed="false">
      <c r="B4" s="37" t="s">
        <v>107</v>
      </c>
    </row>
    <row r="5" customFormat="false" ht="23.85" hidden="false" customHeight="false" outlineLevel="0" collapsed="false">
      <c r="B5" s="38" t="s">
        <v>108</v>
      </c>
    </row>
    <row r="6" customFormat="false" ht="15" hidden="false" customHeight="false" outlineLevel="0" collapsed="false">
      <c r="B6" s="38"/>
    </row>
    <row r="7" customFormat="false" ht="15" hidden="false" customHeight="false" outlineLevel="0" collapsed="false">
      <c r="B7" s="36" t="s">
        <v>109</v>
      </c>
    </row>
    <row r="8" customFormat="false" ht="15" hidden="false" customHeight="false" outlineLevel="0" collapsed="false">
      <c r="B8" s="38" t="s">
        <v>110</v>
      </c>
    </row>
    <row r="9" customFormat="false" ht="15" hidden="false" customHeight="false" outlineLevel="0" collapsed="false">
      <c r="B9" s="38" t="s">
        <v>111</v>
      </c>
    </row>
    <row r="10" customFormat="false" ht="23.85" hidden="false" customHeight="false" outlineLevel="0" collapsed="false">
      <c r="B10" s="38" t="s">
        <v>112</v>
      </c>
    </row>
    <row r="11" customFormat="false" ht="15" hidden="false" customHeight="false" outlineLevel="0" collapsed="false">
      <c r="B11" s="38" t="s">
        <v>113</v>
      </c>
    </row>
    <row r="12" customFormat="false" ht="15" hidden="false" customHeight="false" outlineLevel="0" collapsed="false">
      <c r="B12" s="38" t="s">
        <v>114</v>
      </c>
    </row>
    <row r="13" customFormat="false" ht="15" hidden="false" customHeight="false" outlineLevel="0" collapsed="false">
      <c r="B13" s="38" t="s">
        <v>115</v>
      </c>
    </row>
    <row r="14" customFormat="false" ht="15" hidden="false" customHeight="false" outlineLevel="0" collapsed="false">
      <c r="B14" s="38"/>
    </row>
    <row r="15" customFormat="false" ht="15" hidden="false" customHeight="false" outlineLevel="0" collapsed="false">
      <c r="B15" s="36" t="s">
        <v>116</v>
      </c>
    </row>
    <row r="16" customFormat="false" ht="15" hidden="false" customHeight="false" outlineLevel="0" collapsed="false">
      <c r="B16" s="38" t="s">
        <v>117</v>
      </c>
    </row>
    <row r="17" customFormat="false" ht="15" hidden="false" customHeight="false" outlineLevel="0" collapsed="false">
      <c r="B17" s="38" t="s">
        <v>118</v>
      </c>
    </row>
    <row r="18" customFormat="false" ht="15" hidden="false" customHeight="false" outlineLevel="0" collapsed="false">
      <c r="B18" s="3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2026-10-09T13:02:45Z</dcterms:created>
  <dc:creator>openpyxl</dc:creator>
  <dc:description/>
  <dc:language>en-US</dc:language>
  <cp:lastModifiedBy/>
  <dcterms:modified xsi:type="dcterms:W3CDTF">2026-10-09T13:02:50Z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